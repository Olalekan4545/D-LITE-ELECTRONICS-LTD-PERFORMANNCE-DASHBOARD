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50578e74a2e3ad8a/Documents/"/>
    </mc:Choice>
  </mc:AlternateContent>
  <xr:revisionPtr revIDLastSave="51" documentId="13_ncr:1_{7DD1C800-8A0B-4FEA-A01C-EADF4DCE504C}" xr6:coauthVersionLast="47" xr6:coauthVersionMax="47" xr10:uidLastSave="{BAFF7DF6-7B63-4B77-828F-31E20E17008E}"/>
  <bookViews>
    <workbookView xWindow="-110" yWindow="-110" windowWidth="19420" windowHeight="10300" activeTab="3" xr2:uid="{57831362-05C6-412A-8760-0F60AC5E8CA8}"/>
  </bookViews>
  <sheets>
    <sheet name="Electronics Sales" sheetId="10" r:id="rId1"/>
    <sheet name="Pivot" sheetId="8" r:id="rId2"/>
    <sheet name="Charts" sheetId="12" r:id="rId3"/>
    <sheet name="Dashboard" sheetId="9" r:id="rId4"/>
  </sheets>
  <definedNames>
    <definedName name="_xlcn.WorksheetConnection_ElectronicSalesExcelDashboard.xlsxTable1_11" hidden="1">Table1_1[]</definedName>
    <definedName name="ExternalData_2" localSheetId="0" hidden="1">'Electronics Sales'!$A$1:$J$101</definedName>
    <definedName name="Slicer_Category">#N/A</definedName>
    <definedName name="Slicer_Customer">#N/A</definedName>
    <definedName name="Slicer_Day">#N/A</definedName>
    <definedName name="Slicer_Month">#N/A</definedName>
    <definedName name="Slicer_Product">#N/A</definedName>
    <definedName name="Slicer_Region">#N/A</definedName>
    <definedName name="Slicer_Sales_Rep">#N/A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Electronic Sales Excel Dashboard.xlsx!Table1_1"/>
        </x15:modelTables>
        <x15:extLst>
          <ext xmlns:x16="http://schemas.microsoft.com/office/spreadsheetml/2014/11/main" uri="{9835A34E-60A6-4A7C-AAB8-D5F71C897F49}">
            <x16:modelTimeGroupings>
              <x16:modelTimeGrouping tableName="Table1_1" columnName="Date 1" columnId="Date 1">
                <x16:calculatedTimeColumn columnName="Date 1 (Month Index)" columnId="Date 1 (Month Index)" contentType="monthsindex" isSelected="1"/>
                <x16:calculatedTimeColumn columnName="Date 1 (Month)" columnId="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0" l="1"/>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O10" i="9"/>
  <c r="W10" i="9"/>
  <c r="S10" i="9"/>
  <c r="L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54E497-3128-4020-B5D6-2450E30E5305}"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2" xr16:uid="{D363C30F-B9AD-47D9-BF9B-99B11B3728A7}"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22041CE1-35C6-40C5-8FAA-B5CDD3B572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5AA253D-0B42-4D96-92E7-F8EDDA69DD54}" name="WorksheetConnection_Electronic Sales Excel Dashboard.xlsx!Table1_1" type="102" refreshedVersion="8" minRefreshableVersion="5">
    <extLst>
      <ext xmlns:x15="http://schemas.microsoft.com/office/spreadsheetml/2010/11/main" uri="{DE250136-89BD-433C-8126-D09CA5730AF9}">
        <x15:connection id="Table1_1">
          <x15:rangePr sourceName="_xlcn.WorksheetConnection_ElectronicSalesExcelDashboard.xlsxTable1_11"/>
        </x15:connection>
      </ext>
    </extLst>
  </connection>
</connections>
</file>

<file path=xl/sharedStrings.xml><?xml version="1.0" encoding="utf-8"?>
<sst xmlns="http://schemas.openxmlformats.org/spreadsheetml/2006/main" count="811" uniqueCount="81">
  <si>
    <t>Region</t>
  </si>
  <si>
    <t>Product</t>
  </si>
  <si>
    <t>Category</t>
  </si>
  <si>
    <t>Units Sold</t>
  </si>
  <si>
    <t>Unit Price</t>
  </si>
  <si>
    <t>Sales Rep</t>
  </si>
  <si>
    <t>Customer</t>
  </si>
  <si>
    <t>Total Revenue</t>
  </si>
  <si>
    <t>June</t>
  </si>
  <si>
    <t>Friday</t>
  </si>
  <si>
    <t>South</t>
  </si>
  <si>
    <t>Laptop  A15</t>
  </si>
  <si>
    <t>Computers</t>
  </si>
  <si>
    <t>Peter Obi</t>
  </si>
  <si>
    <t>Bright Solutions</t>
  </si>
  <si>
    <t>April</t>
  </si>
  <si>
    <t>Tuesday</t>
  </si>
  <si>
    <t>East</t>
  </si>
  <si>
    <t>Electronics</t>
  </si>
  <si>
    <t>Ifeanyi Okafor</t>
  </si>
  <si>
    <t>Musa Enterprises</t>
  </si>
  <si>
    <t>January</t>
  </si>
  <si>
    <t>Wednesday</t>
  </si>
  <si>
    <t>North</t>
  </si>
  <si>
    <t>Phone X12</t>
  </si>
  <si>
    <t>Mobile</t>
  </si>
  <si>
    <t>Fola Balogun</t>
  </si>
  <si>
    <t>Zainab Global</t>
  </si>
  <si>
    <t>May</t>
  </si>
  <si>
    <t>Saturday</t>
  </si>
  <si>
    <t>Peripherals</t>
  </si>
  <si>
    <t>West</t>
  </si>
  <si>
    <t>Monday</t>
  </si>
  <si>
    <t>Tv 43Q</t>
  </si>
  <si>
    <t>February</t>
  </si>
  <si>
    <t>Monitor M24</t>
  </si>
  <si>
    <t>Camera C100</t>
  </si>
  <si>
    <t>Photography</t>
  </si>
  <si>
    <t>Alpha Retailers</t>
  </si>
  <si>
    <t>Audio</t>
  </si>
  <si>
    <t>Aisha Bello</t>
  </si>
  <si>
    <t>Omega Wholesale</t>
  </si>
  <si>
    <t>Kelvin Tech</t>
  </si>
  <si>
    <t>Sunday</t>
  </si>
  <si>
    <t>Speaker S10</t>
  </si>
  <si>
    <t>Thursday</t>
  </si>
  <si>
    <t>Chinedu Nwosu</t>
  </si>
  <si>
    <t>Femi Tech</t>
  </si>
  <si>
    <t>Grace Amos</t>
  </si>
  <si>
    <t>Emeka Traders</t>
  </si>
  <si>
    <t>March</t>
  </si>
  <si>
    <t>Maryam Ltd</t>
  </si>
  <si>
    <t>Tope &amp; Sons</t>
  </si>
  <si>
    <t>Mary John</t>
  </si>
  <si>
    <t>Aba Joel</t>
  </si>
  <si>
    <t>Chika Mart</t>
  </si>
  <si>
    <t>Jide Superstores</t>
  </si>
  <si>
    <t>Tola Ventures</t>
  </si>
  <si>
    <t>Row Labels</t>
  </si>
  <si>
    <t>Grand Total</t>
  </si>
  <si>
    <t>Total_Unit_Sold</t>
  </si>
  <si>
    <t>Total_Order</t>
  </si>
  <si>
    <t>Total Order</t>
  </si>
  <si>
    <t>Average per Order</t>
  </si>
  <si>
    <t>Total Unit Sold</t>
  </si>
  <si>
    <t>Date 1</t>
  </si>
  <si>
    <t>Tablet  T8</t>
  </si>
  <si>
    <t>Job Austin</t>
  </si>
  <si>
    <t>Praise Odunayo</t>
  </si>
  <si>
    <t>Adewales Stores</t>
  </si>
  <si>
    <t>Column1</t>
  </si>
  <si>
    <t>Total_Sales</t>
  </si>
  <si>
    <t>Jan</t>
  </si>
  <si>
    <t>Feb</t>
  </si>
  <si>
    <t>Mar</t>
  </si>
  <si>
    <t>Apr</t>
  </si>
  <si>
    <t>Jun</t>
  </si>
  <si>
    <t>Month</t>
  </si>
  <si>
    <t>Date 1 - Copy</t>
  </si>
  <si>
    <t>Average_Order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</si>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</sst>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46A]* #,##0_-;\-[$₦-46A]* #,##0_-;_-[$₦-46A]* &quot;-&quot;_-;_-@_-"/>
  </numFmts>
  <fonts count="9" x14ac:knownFonts="1">
    <font>
      <sz val="11"/>
      <color theme="1"/>
      <name val="Aptos Narrow"/>
      <family val="2"/>
      <scheme val="minor"/>
    </font>
    <font>
      <sz val="11"/>
      <color theme="1"/>
      <name val="Aptos Narrow"/>
      <family val="2"/>
      <scheme val="minor"/>
    </font>
    <font>
      <b/>
      <sz val="16"/>
      <color theme="0"/>
      <name val="Consolas"/>
      <family val="3"/>
    </font>
    <font>
      <b/>
      <sz val="18"/>
      <color theme="0"/>
      <name val="Consolas"/>
      <family val="3"/>
    </font>
    <font>
      <b/>
      <sz val="18"/>
      <color rgb="FFFF6699"/>
      <name val="Consolas"/>
      <family val="3"/>
    </font>
    <font>
      <b/>
      <sz val="11"/>
      <color theme="9" tint="-0.249977111117893"/>
      <name val="Aptos Narrow"/>
      <family val="2"/>
      <scheme val="minor"/>
    </font>
    <font>
      <b/>
      <sz val="11"/>
      <color theme="0"/>
      <name val="Aptos Narrow"/>
      <family val="2"/>
      <scheme val="minor"/>
    </font>
    <font>
      <b/>
      <sz val="11"/>
      <color theme="0"/>
      <name val="Consolas"/>
      <family val="3"/>
    </font>
    <font>
      <sz val="8"/>
      <name val="Aptos Narrow"/>
      <family val="2"/>
      <scheme val="minor"/>
    </font>
  </fonts>
  <fills count="5">
    <fill>
      <patternFill patternType="none"/>
    </fill>
    <fill>
      <patternFill patternType="gray125"/>
    </fill>
    <fill>
      <patternFill patternType="solid">
        <fgColor rgb="FF6FA2B7"/>
        <bgColor indexed="64"/>
      </patternFill>
    </fill>
    <fill>
      <patternFill patternType="solid">
        <fgColor theme="1"/>
        <bgColor indexed="64"/>
      </patternFill>
    </fill>
    <fill>
      <patternFill patternType="solid">
        <fgColor rgb="FF5C9DCA"/>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5" fillId="0" borderId="0" xfId="0" applyFont="1"/>
    <xf numFmtId="0" fontId="0" fillId="3" borderId="0" xfId="0" applyFill="1"/>
    <xf numFmtId="0" fontId="6" fillId="3" borderId="0" xfId="0" applyFont="1" applyFill="1" applyAlignment="1">
      <alignment horizontal="center"/>
    </xf>
    <xf numFmtId="0" fontId="0" fillId="4" borderId="0" xfId="0" applyFill="1"/>
    <xf numFmtId="0" fontId="7" fillId="3" borderId="0" xfId="0" applyFont="1" applyFill="1"/>
    <xf numFmtId="165" fontId="7" fillId="3" borderId="0" xfId="2" applyNumberFormat="1" applyFont="1" applyFill="1" applyAlignment="1"/>
    <xf numFmtId="165" fontId="0" fillId="0" borderId="0" xfId="0" applyNumberFormat="1"/>
    <xf numFmtId="166" fontId="0" fillId="0" borderId="0" xfId="0" applyNumberFormat="1"/>
    <xf numFmtId="0" fontId="3" fillId="2" borderId="0" xfId="0" applyFont="1" applyFill="1" applyAlignment="1">
      <alignment horizontal="center"/>
    </xf>
    <xf numFmtId="0" fontId="4" fillId="2" borderId="0" xfId="0" applyFont="1" applyFill="1" applyAlignment="1">
      <alignment horizontal="center"/>
    </xf>
    <xf numFmtId="164" fontId="2" fillId="2" borderId="0" xfId="1" applyNumberFormat="1" applyFont="1" applyFill="1" applyAlignment="1">
      <alignment horizontal="center"/>
    </xf>
    <xf numFmtId="0" fontId="0" fillId="2" borderId="0" xfId="0" applyFill="1" applyAlignment="1">
      <alignment horizontal="center"/>
    </xf>
    <xf numFmtId="166" fontId="7" fillId="3" borderId="0" xfId="1" applyNumberFormat="1" applyFont="1" applyFill="1" applyAlignment="1">
      <alignment horizontal="center"/>
    </xf>
    <xf numFmtId="0" fontId="7" fillId="3" borderId="0" xfId="0" applyFont="1" applyFill="1" applyAlignment="1">
      <alignment horizontal="center"/>
    </xf>
    <xf numFmtId="43" fontId="7" fillId="3" borderId="0" xfId="2" applyFont="1" applyFill="1" applyAlignment="1">
      <alignment horizontal="center"/>
    </xf>
    <xf numFmtId="165" fontId="7" fillId="3" borderId="0" xfId="2" applyNumberFormat="1" applyFont="1" applyFill="1" applyAlignment="1">
      <alignment horizontal="center"/>
    </xf>
  </cellXfs>
  <cellStyles count="3">
    <cellStyle name="Comma" xfId="2" builtinId="3"/>
    <cellStyle name="Currency" xfId="1" builtinId="4"/>
    <cellStyle name="Normal" xfId="0" builtinId="0"/>
  </cellStyles>
  <dxfs count="20">
    <dxf>
      <numFmt numFmtId="165" formatCode="_(* #,##0_);_(* \(#,##0\);_(*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i val="0"/>
        <strike val="0"/>
        <sz val="9"/>
        <color theme="0"/>
        <name val="Consolas"/>
        <family val="3"/>
        <scheme val="none"/>
      </font>
      <fill>
        <patternFill>
          <bgColor theme="1"/>
        </patternFill>
      </fill>
      <border diagonalUp="0" diagonalDown="0">
        <left/>
        <right/>
        <top/>
        <bottom/>
        <vertical/>
        <horizontal/>
      </border>
    </dxf>
  </dxfs>
  <tableStyles count="1" defaultTableStyle="TableStyleMedium2" defaultPivotStyle="PivotStyleLight16">
    <tableStyle name="Months" pivot="0" table="0" count="1" xr9:uid="{1AA51695-BD3E-4BC1-83E3-6141AC256336}">
      <tableStyleElement type="wholeTable" dxfId="19"/>
    </tableStyle>
  </tableStyles>
  <colors>
    <mruColors>
      <color rgb="FF6FA2B7"/>
      <color rgb="FF318B44"/>
      <color rgb="FFFF6699"/>
      <color rgb="FF5C9DCA"/>
      <color rgb="FFB4521C"/>
      <color rgb="FFFF3399"/>
      <color rgb="FF4E93D8"/>
    </mruColors>
  </colors>
  <extLst>
    <ext xmlns:x14="http://schemas.microsoft.com/office/spreadsheetml/2009/9/main" uri="{EB79DEF2-80B8-43e5-95BD-54CBDDF9020C}">
      <x14:slicerStyles defaultSlicerStyle="SlicerStyleLight1">
        <x14:slicerStyle name="Month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haredStrings" Target="sharedStrings.xml"/><Relationship Id="rId11" Type="http://schemas.openxmlformats.org/officeDocument/2006/relationships/pivotCacheDefinition" Target="pivotCache/pivotCacheDefinition7.xml"/><Relationship Id="rId24" Type="http://schemas.microsoft.com/office/2007/relationships/slicerCache" Target="slicerCaches/slicerCache6.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pivotCacheDefinition" Target="pivotCache/pivotCacheDefinition1.xml"/><Relationship Id="rId61" Type="http://schemas.openxmlformats.org/officeDocument/2006/relationships/customXml" Target="../customXml/item30.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4.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7.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microsoft.com/office/2007/relationships/slicerCache" Target="slicerCaches/slicerCache2.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5.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6.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Total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Pivot!$Y$3:$Y$17</c:f>
              <c:strCache>
                <c:ptCount val="14"/>
                <c:pt idx="0">
                  <c:v>Femi Tech</c:v>
                </c:pt>
                <c:pt idx="1">
                  <c:v>Musa Enterprises</c:v>
                </c:pt>
                <c:pt idx="2">
                  <c:v>Omega Wholesale</c:v>
                </c:pt>
                <c:pt idx="3">
                  <c:v>Bright Solutions</c:v>
                </c:pt>
                <c:pt idx="4">
                  <c:v>Kelvin Tech</c:v>
                </c:pt>
                <c:pt idx="5">
                  <c:v>Chika Mart</c:v>
                </c:pt>
                <c:pt idx="6">
                  <c:v>Alpha Retailers</c:v>
                </c:pt>
                <c:pt idx="7">
                  <c:v>Emeka Traders</c:v>
                </c:pt>
                <c:pt idx="8">
                  <c:v>Maryam Ltd</c:v>
                </c:pt>
                <c:pt idx="9">
                  <c:v>Jide Superstores</c:v>
                </c:pt>
                <c:pt idx="10">
                  <c:v>Tope &amp; Sons</c:v>
                </c:pt>
                <c:pt idx="11">
                  <c:v>Tola Ventures</c:v>
                </c:pt>
                <c:pt idx="12">
                  <c:v>Zainab Global</c:v>
                </c:pt>
                <c:pt idx="13">
                  <c:v>Adewales Stores</c:v>
                </c:pt>
              </c:strCache>
            </c:strRef>
          </c:cat>
          <c:val>
            <c:numRef>
              <c:f>Pivot!$Z$3:$Z$17</c:f>
              <c:numCache>
                <c:formatCode>General</c:formatCode>
                <c:ptCount val="14"/>
                <c:pt idx="0">
                  <c:v>13</c:v>
                </c:pt>
                <c:pt idx="1">
                  <c:v>11</c:v>
                </c:pt>
                <c:pt idx="2">
                  <c:v>9</c:v>
                </c:pt>
                <c:pt idx="3">
                  <c:v>8</c:v>
                </c:pt>
                <c:pt idx="4">
                  <c:v>8</c:v>
                </c:pt>
                <c:pt idx="5">
                  <c:v>8</c:v>
                </c:pt>
                <c:pt idx="6">
                  <c:v>7</c:v>
                </c:pt>
                <c:pt idx="7">
                  <c:v>7</c:v>
                </c:pt>
                <c:pt idx="8">
                  <c:v>6</c:v>
                </c:pt>
                <c:pt idx="9">
                  <c:v>6</c:v>
                </c:pt>
                <c:pt idx="10">
                  <c:v>5</c:v>
                </c:pt>
                <c:pt idx="11">
                  <c:v>5</c:v>
                </c:pt>
                <c:pt idx="12">
                  <c:v>4</c:v>
                </c:pt>
                <c:pt idx="13">
                  <c:v>3</c:v>
                </c:pt>
              </c:numCache>
            </c:numRef>
          </c:val>
          <c:extLst>
            <c:ext xmlns:c16="http://schemas.microsoft.com/office/drawing/2014/chart" uri="{C3380CC4-5D6E-409C-BE32-E72D297353CC}">
              <c16:uniqueId val="{00000001-5C6E-4401-8E74-C7F10DE02101}"/>
            </c:ext>
          </c:extLst>
        </c:ser>
        <c:dLbls>
          <c:dLblPos val="outEnd"/>
          <c:showLegendKey val="0"/>
          <c:showVal val="1"/>
          <c:showCatName val="0"/>
          <c:showSerName val="0"/>
          <c:showPercent val="0"/>
          <c:showBubbleSize val="0"/>
        </c:dLbls>
        <c:gapWidth val="219"/>
        <c:overlap val="-27"/>
        <c:axId val="64655744"/>
        <c:axId val="64656704"/>
      </c:barChart>
      <c:catAx>
        <c:axId val="6465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6704"/>
        <c:crosses val="autoZero"/>
        <c:auto val="1"/>
        <c:lblAlgn val="ctr"/>
        <c:lblOffset val="100"/>
        <c:noMultiLvlLbl val="0"/>
      </c:catAx>
      <c:valAx>
        <c:axId val="64656704"/>
        <c:scaling>
          <c:orientation val="minMax"/>
        </c:scaling>
        <c:delete val="1"/>
        <c:axPos val="l"/>
        <c:numFmt formatCode="General" sourceLinked="1"/>
        <c:majorTickMark val="none"/>
        <c:minorTickMark val="none"/>
        <c:tickLblPos val="nextTo"/>
        <c:crossAx val="6465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onsolas" panose="020B0609020204030204" pitchFamily="49" charset="0"/>
              </a:rPr>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Pivot!$A$4:$A$10</c:f>
              <c:strCache>
                <c:ptCount val="6"/>
                <c:pt idx="0">
                  <c:v>Jan</c:v>
                </c:pt>
                <c:pt idx="1">
                  <c:v>Feb</c:v>
                </c:pt>
                <c:pt idx="2">
                  <c:v>Mar</c:v>
                </c:pt>
                <c:pt idx="3">
                  <c:v>Apr</c:v>
                </c:pt>
                <c:pt idx="4">
                  <c:v>May</c:v>
                </c:pt>
                <c:pt idx="5">
                  <c:v>Jun</c:v>
                </c:pt>
              </c:strCache>
            </c:strRef>
          </c:cat>
          <c:val>
            <c:numRef>
              <c:f>Pivot!$B$4:$B$10</c:f>
              <c:numCache>
                <c:formatCode>_-[$₦-46A]* #,##0_-;\-[$₦-46A]* #,##0_-;_-[$₦-46A]* "-"_-;_-@_-</c:formatCode>
                <c:ptCount val="6"/>
                <c:pt idx="0">
                  <c:v>163045000</c:v>
                </c:pt>
                <c:pt idx="1">
                  <c:v>187985000</c:v>
                </c:pt>
                <c:pt idx="2">
                  <c:v>63870000</c:v>
                </c:pt>
                <c:pt idx="3">
                  <c:v>98545000</c:v>
                </c:pt>
                <c:pt idx="4">
                  <c:v>75035000</c:v>
                </c:pt>
                <c:pt idx="5">
                  <c:v>58845000</c:v>
                </c:pt>
              </c:numCache>
            </c:numRef>
          </c:val>
          <c:smooth val="0"/>
          <c:extLst>
            <c:ext xmlns:c16="http://schemas.microsoft.com/office/drawing/2014/chart" uri="{C3380CC4-5D6E-409C-BE32-E72D297353CC}">
              <c16:uniqueId val="{00000000-DFDC-4ED9-9122-544EDC27F826}"/>
            </c:ext>
          </c:extLst>
        </c:ser>
        <c:dLbls>
          <c:showLegendKey val="0"/>
          <c:showVal val="0"/>
          <c:showCatName val="0"/>
          <c:showSerName val="0"/>
          <c:showPercent val="0"/>
          <c:showBubbleSize val="0"/>
        </c:dLbls>
        <c:smooth val="0"/>
        <c:axId val="65658000"/>
        <c:axId val="65657040"/>
      </c:lineChart>
      <c:catAx>
        <c:axId val="656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7040"/>
        <c:crosses val="autoZero"/>
        <c:auto val="1"/>
        <c:lblAlgn val="ctr"/>
        <c:lblOffset val="100"/>
        <c:noMultiLvlLbl val="0"/>
      </c:catAx>
      <c:valAx>
        <c:axId val="65657040"/>
        <c:scaling>
          <c:orientation val="minMax"/>
        </c:scaling>
        <c:delete val="1"/>
        <c:axPos val="l"/>
        <c:numFmt formatCode="_-[$₦-46A]* #,##0_-;\-[$₦-46A]* #,##0_-;_-[$₦-46A]* &quot;-&quot;_-;_-@_-" sourceLinked="1"/>
        <c:majorTickMark val="none"/>
        <c:minorTickMark val="none"/>
        <c:tickLblPos val="nextTo"/>
        <c:crossAx val="6565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Pivot!$AP$3:$AP$10</c:f>
              <c:strCache>
                <c:ptCount val="7"/>
                <c:pt idx="0">
                  <c:v>Laptop  A15</c:v>
                </c:pt>
                <c:pt idx="1">
                  <c:v>Tv 43Q</c:v>
                </c:pt>
                <c:pt idx="2">
                  <c:v>Tablet  T8</c:v>
                </c:pt>
                <c:pt idx="3">
                  <c:v>Camera C100</c:v>
                </c:pt>
                <c:pt idx="4">
                  <c:v>Phone X12</c:v>
                </c:pt>
                <c:pt idx="5">
                  <c:v>Monitor M24</c:v>
                </c:pt>
                <c:pt idx="6">
                  <c:v>Speaker S10</c:v>
                </c:pt>
              </c:strCache>
            </c:strRef>
          </c:cat>
          <c:val>
            <c:numRef>
              <c:f>Pivot!$AQ$3:$AQ$10</c:f>
              <c:numCache>
                <c:formatCode>_-[$₦-46A]* #,##0_-;\-[$₦-46A]* #,##0_-;_-[$₦-46A]* "-"_-;_-@_-</c:formatCode>
                <c:ptCount val="7"/>
                <c:pt idx="0">
                  <c:v>477500000</c:v>
                </c:pt>
                <c:pt idx="1">
                  <c:v>75250000</c:v>
                </c:pt>
                <c:pt idx="2">
                  <c:v>33900000</c:v>
                </c:pt>
                <c:pt idx="3">
                  <c:v>25550000</c:v>
                </c:pt>
                <c:pt idx="4">
                  <c:v>14760000</c:v>
                </c:pt>
                <c:pt idx="5">
                  <c:v>11440000</c:v>
                </c:pt>
                <c:pt idx="6">
                  <c:v>8925000</c:v>
                </c:pt>
              </c:numCache>
            </c:numRef>
          </c:val>
          <c:extLst>
            <c:ext xmlns:c16="http://schemas.microsoft.com/office/drawing/2014/chart" uri="{C3380CC4-5D6E-409C-BE32-E72D297353CC}">
              <c16:uniqueId val="{00000000-1733-4566-9007-22613B1AE345}"/>
            </c:ext>
          </c:extLst>
        </c:ser>
        <c:dLbls>
          <c:dLblPos val="outEnd"/>
          <c:showLegendKey val="0"/>
          <c:showVal val="1"/>
          <c:showCatName val="0"/>
          <c:showSerName val="0"/>
          <c:showPercent val="0"/>
          <c:showBubbleSize val="0"/>
        </c:dLbls>
        <c:gapWidth val="219"/>
        <c:overlap val="-27"/>
        <c:axId val="1940380912"/>
        <c:axId val="1940391472"/>
      </c:barChart>
      <c:catAx>
        <c:axId val="1940380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91472"/>
        <c:crosses val="autoZero"/>
        <c:auto val="1"/>
        <c:lblAlgn val="ctr"/>
        <c:lblOffset val="100"/>
        <c:noMultiLvlLbl val="0"/>
      </c:catAx>
      <c:valAx>
        <c:axId val="1940391472"/>
        <c:scaling>
          <c:orientation val="minMax"/>
        </c:scaling>
        <c:delete val="1"/>
        <c:axPos val="l"/>
        <c:numFmt formatCode="_-[$₦-46A]* #,##0_-;\-[$₦-46A]* #,##0_-;_-[$₦-46A]* &quot;-&quot;_-;_-@_-" sourceLinked="1"/>
        <c:majorTickMark val="out"/>
        <c:minorTickMark val="none"/>
        <c:tickLblPos val="nextTo"/>
        <c:crossAx val="19403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Pivot!$AC$3:$AC$9</c:f>
              <c:strCache>
                <c:ptCount val="6"/>
                <c:pt idx="0">
                  <c:v>Computers</c:v>
                </c:pt>
                <c:pt idx="1">
                  <c:v>Electronics</c:v>
                </c:pt>
                <c:pt idx="2">
                  <c:v>Mobile</c:v>
                </c:pt>
                <c:pt idx="3">
                  <c:v>Photography</c:v>
                </c:pt>
                <c:pt idx="4">
                  <c:v>Peripherals</c:v>
                </c:pt>
                <c:pt idx="5">
                  <c:v>Audio</c:v>
                </c:pt>
              </c:strCache>
            </c:strRef>
          </c:cat>
          <c:val>
            <c:numRef>
              <c:f>Pivot!$AD$3:$AD$9</c:f>
              <c:numCache>
                <c:formatCode>_-[$₦-46A]* #,##0_-;\-[$₦-46A]* #,##0_-;_-[$₦-46A]* "-"_-;_-@_-</c:formatCode>
                <c:ptCount val="6"/>
                <c:pt idx="0">
                  <c:v>477500000</c:v>
                </c:pt>
                <c:pt idx="1">
                  <c:v>75250000</c:v>
                </c:pt>
                <c:pt idx="2">
                  <c:v>48660000</c:v>
                </c:pt>
                <c:pt idx="3">
                  <c:v>25550000</c:v>
                </c:pt>
                <c:pt idx="4">
                  <c:v>11440000</c:v>
                </c:pt>
                <c:pt idx="5">
                  <c:v>8925000</c:v>
                </c:pt>
              </c:numCache>
            </c:numRef>
          </c:val>
          <c:extLst>
            <c:ext xmlns:c16="http://schemas.microsoft.com/office/drawing/2014/chart" uri="{C3380CC4-5D6E-409C-BE32-E72D297353CC}">
              <c16:uniqueId val="{00000000-E2C9-4FF1-9856-F9FB4754ADD9}"/>
            </c:ext>
          </c:extLst>
        </c:ser>
        <c:dLbls>
          <c:dLblPos val="outEnd"/>
          <c:showLegendKey val="0"/>
          <c:showVal val="1"/>
          <c:showCatName val="0"/>
          <c:showSerName val="0"/>
          <c:showPercent val="0"/>
          <c:showBubbleSize val="0"/>
        </c:dLbls>
        <c:gapWidth val="219"/>
        <c:overlap val="-27"/>
        <c:axId val="1940391952"/>
        <c:axId val="1940394352"/>
      </c:barChart>
      <c:catAx>
        <c:axId val="19403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94352"/>
        <c:crosses val="autoZero"/>
        <c:auto val="1"/>
        <c:lblAlgn val="ctr"/>
        <c:lblOffset val="100"/>
        <c:noMultiLvlLbl val="0"/>
      </c:catAx>
      <c:valAx>
        <c:axId val="1940394352"/>
        <c:scaling>
          <c:orientation val="minMax"/>
        </c:scaling>
        <c:delete val="1"/>
        <c:axPos val="l"/>
        <c:numFmt formatCode="_-[$₦-46A]* #,##0_-;\-[$₦-46A]* #,##0_-;_-[$₦-46A]* &quot;-&quot;_-;_-@_-" sourceLinked="1"/>
        <c:majorTickMark val="none"/>
        <c:minorTickMark val="none"/>
        <c:tickLblPos val="nextTo"/>
        <c:crossAx val="19403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Sakes Rep</a:t>
            </a:r>
            <a:r>
              <a:rPr lang="en-US" baseline="0"/>
              <a:t> by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Pivot!$AK$3:$AK$13</c:f>
              <c:strCache>
                <c:ptCount val="10"/>
                <c:pt idx="0">
                  <c:v>Grace Amos</c:v>
                </c:pt>
                <c:pt idx="1">
                  <c:v>Chinedu Nwosu</c:v>
                </c:pt>
                <c:pt idx="2">
                  <c:v>Fola Balogun</c:v>
                </c:pt>
                <c:pt idx="3">
                  <c:v>Peter Obi</c:v>
                </c:pt>
                <c:pt idx="4">
                  <c:v>Aisha Bello</c:v>
                </c:pt>
                <c:pt idx="5">
                  <c:v>Ifeanyi Okafor</c:v>
                </c:pt>
                <c:pt idx="6">
                  <c:v>Mary John</c:v>
                </c:pt>
                <c:pt idx="7">
                  <c:v>Job Austin</c:v>
                </c:pt>
                <c:pt idx="8">
                  <c:v>Praise Odunayo</c:v>
                </c:pt>
                <c:pt idx="9">
                  <c:v>Aba Joel</c:v>
                </c:pt>
              </c:strCache>
            </c:strRef>
          </c:cat>
          <c:val>
            <c:numRef>
              <c:f>Pivot!$AL$3:$AL$13</c:f>
              <c:numCache>
                <c:formatCode>_-[$₦-46A]* #,##0_-;\-[$₦-46A]* #,##0_-;_-[$₦-46A]* "-"_-;_-@_-</c:formatCode>
                <c:ptCount val="10"/>
                <c:pt idx="0">
                  <c:v>149080000</c:v>
                </c:pt>
                <c:pt idx="1">
                  <c:v>108570000</c:v>
                </c:pt>
                <c:pt idx="2">
                  <c:v>103770000</c:v>
                </c:pt>
                <c:pt idx="3">
                  <c:v>87790000</c:v>
                </c:pt>
                <c:pt idx="4">
                  <c:v>76065000</c:v>
                </c:pt>
                <c:pt idx="5">
                  <c:v>74415000</c:v>
                </c:pt>
                <c:pt idx="6">
                  <c:v>38885000</c:v>
                </c:pt>
                <c:pt idx="7">
                  <c:v>5250000</c:v>
                </c:pt>
                <c:pt idx="8">
                  <c:v>2850000</c:v>
                </c:pt>
                <c:pt idx="9">
                  <c:v>650000</c:v>
                </c:pt>
              </c:numCache>
            </c:numRef>
          </c:val>
          <c:extLst>
            <c:ext xmlns:c16="http://schemas.microsoft.com/office/drawing/2014/chart" uri="{C3380CC4-5D6E-409C-BE32-E72D297353CC}">
              <c16:uniqueId val="{00000000-90BB-4754-9AF7-EA56C91E670A}"/>
            </c:ext>
          </c:extLst>
        </c:ser>
        <c:dLbls>
          <c:dLblPos val="outEnd"/>
          <c:showLegendKey val="0"/>
          <c:showVal val="1"/>
          <c:showCatName val="0"/>
          <c:showSerName val="0"/>
          <c:showPercent val="0"/>
          <c:showBubbleSize val="0"/>
        </c:dLbls>
        <c:gapWidth val="219"/>
        <c:overlap val="-27"/>
        <c:axId val="1940407792"/>
        <c:axId val="1940380432"/>
      </c:barChart>
      <c:catAx>
        <c:axId val="19404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80432"/>
        <c:crosses val="autoZero"/>
        <c:auto val="1"/>
        <c:lblAlgn val="ctr"/>
        <c:lblOffset val="100"/>
        <c:noMultiLvlLbl val="0"/>
      </c:catAx>
      <c:valAx>
        <c:axId val="1940380432"/>
        <c:scaling>
          <c:orientation val="minMax"/>
        </c:scaling>
        <c:delete val="1"/>
        <c:axPos val="l"/>
        <c:numFmt formatCode="_-[$₦-46A]* #,##0_-;\-[$₦-46A]* #,##0_-;_-[$₦-46A]* &quot;-&quot;_-;_-@_-" sourceLinked="1"/>
        <c:majorTickMark val="none"/>
        <c:minorTickMark val="none"/>
        <c:tickLblPos val="nextTo"/>
        <c:crossAx val="194040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strLit>
          </c:cat>
          <c:val>
            <c:numLit>
              <c:formatCode>General</c:formatCode>
              <c:ptCount val="5"/>
              <c:pt idx="0">
                <c:v>31715000</c:v>
              </c:pt>
              <c:pt idx="1">
                <c:v>28712487</c:v>
              </c:pt>
              <c:pt idx="2">
                <c:v>22041113</c:v>
              </c:pt>
              <c:pt idx="3">
                <c:v>10730000</c:v>
              </c:pt>
              <c:pt idx="4">
                <c:v>8550000</c:v>
              </c:pt>
            </c:numLit>
          </c:val>
          <c:extLst>
            <c:ext xmlns:c16="http://schemas.microsoft.com/office/drawing/2014/chart" uri="{C3380CC4-5D6E-409C-BE32-E72D297353CC}">
              <c16:uniqueId val="{00000000-A36D-44D9-8E03-E4A25F9DD454}"/>
            </c:ext>
          </c:extLst>
        </c:ser>
        <c:dLbls>
          <c:dLblPos val="outEnd"/>
          <c:showLegendKey val="0"/>
          <c:showVal val="1"/>
          <c:showCatName val="0"/>
          <c:showSerName val="0"/>
          <c:showPercent val="0"/>
          <c:showBubbleSize val="0"/>
        </c:dLbls>
        <c:gapWidth val="182"/>
        <c:axId val="1940412592"/>
        <c:axId val="1940413552"/>
      </c:barChart>
      <c:catAx>
        <c:axId val="194041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13552"/>
        <c:crosses val="autoZero"/>
        <c:auto val="1"/>
        <c:lblAlgn val="ctr"/>
        <c:lblOffset val="100"/>
        <c:noMultiLvlLbl val="0"/>
      </c:catAx>
      <c:valAx>
        <c:axId val="1940413552"/>
        <c:scaling>
          <c:orientation val="minMax"/>
        </c:scaling>
        <c:delete val="1"/>
        <c:axPos val="b"/>
        <c:numFmt formatCode="General" sourceLinked="1"/>
        <c:majorTickMark val="none"/>
        <c:minorTickMark val="none"/>
        <c:tickLblPos val="nextTo"/>
        <c:crossAx val="194041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Dashboard.xlsx]Pivot!PivotTable31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Pivot!$AH$2</c:f>
              <c:strCache>
                <c:ptCount val="1"/>
                <c:pt idx="0">
                  <c:v>Total</c:v>
                </c:pt>
              </c:strCache>
            </c:strRef>
          </c:tx>
          <c:spPr>
            <a:ln w="28575" cap="rnd">
              <a:solidFill>
                <a:schemeClr val="accent1"/>
              </a:solidFill>
              <a:round/>
            </a:ln>
            <a:effectLst/>
          </c:spPr>
          <c:marker>
            <c:symbol val="none"/>
          </c:marker>
          <c:cat>
            <c:strRef>
              <c:f>Pivot!$AG$3:$AG$10</c:f>
              <c:strCache>
                <c:ptCount val="7"/>
                <c:pt idx="0">
                  <c:v>Sunday</c:v>
                </c:pt>
                <c:pt idx="1">
                  <c:v>Monday</c:v>
                </c:pt>
                <c:pt idx="2">
                  <c:v>Tuesday</c:v>
                </c:pt>
                <c:pt idx="3">
                  <c:v>Wednesday</c:v>
                </c:pt>
                <c:pt idx="4">
                  <c:v>Thursday</c:v>
                </c:pt>
                <c:pt idx="5">
                  <c:v>Friday</c:v>
                </c:pt>
                <c:pt idx="6">
                  <c:v>Saturday</c:v>
                </c:pt>
              </c:strCache>
            </c:strRef>
          </c:cat>
          <c:val>
            <c:numRef>
              <c:f>Pivot!$AH$3:$AH$10</c:f>
              <c:numCache>
                <c:formatCode>_-[$₦-46A]* #,##0_-;\-[$₦-46A]* #,##0_-;_-[$₦-46A]* "-"_-;_-@_-</c:formatCode>
                <c:ptCount val="7"/>
                <c:pt idx="0">
                  <c:v>127300000</c:v>
                </c:pt>
                <c:pt idx="1">
                  <c:v>112690000</c:v>
                </c:pt>
                <c:pt idx="2">
                  <c:v>59675000</c:v>
                </c:pt>
                <c:pt idx="3">
                  <c:v>93055000</c:v>
                </c:pt>
                <c:pt idx="4">
                  <c:v>106960000</c:v>
                </c:pt>
                <c:pt idx="5">
                  <c:v>85665000</c:v>
                </c:pt>
                <c:pt idx="6">
                  <c:v>61980000</c:v>
                </c:pt>
              </c:numCache>
            </c:numRef>
          </c:val>
          <c:smooth val="0"/>
          <c:extLst>
            <c:ext xmlns:c16="http://schemas.microsoft.com/office/drawing/2014/chart" uri="{C3380CC4-5D6E-409C-BE32-E72D297353CC}">
              <c16:uniqueId val="{00000000-8042-4F46-9540-CF8EE84FA070}"/>
            </c:ext>
          </c:extLst>
        </c:ser>
        <c:dLbls>
          <c:showLegendKey val="0"/>
          <c:showVal val="0"/>
          <c:showCatName val="0"/>
          <c:showSerName val="0"/>
          <c:showPercent val="0"/>
          <c:showBubbleSize val="0"/>
        </c:dLbls>
        <c:smooth val="0"/>
        <c:axId val="391057152"/>
        <c:axId val="391059072"/>
      </c:lineChart>
      <c:catAx>
        <c:axId val="39105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59072"/>
        <c:crosses val="autoZero"/>
        <c:auto val="1"/>
        <c:lblAlgn val="ctr"/>
        <c:lblOffset val="100"/>
        <c:noMultiLvlLbl val="0"/>
      </c:catAx>
      <c:valAx>
        <c:axId val="391059072"/>
        <c:scaling>
          <c:orientation val="minMax"/>
        </c:scaling>
        <c:delete val="1"/>
        <c:axPos val="l"/>
        <c:numFmt formatCode="_-[$₦-46A]* #,##0_-;\-[$₦-46A]* #,##0_-;_-[$₦-46A]* &quot;-&quot;_-;_-@_-" sourceLinked="1"/>
        <c:majorTickMark val="none"/>
        <c:minorTickMark val="none"/>
        <c:tickLblPos val="nextTo"/>
        <c:crossAx val="39105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C-4396-9015-3F368A5F29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C-4396-9015-3F368A5F29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C-4396-9015-3F368A5F29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C-4396-9015-3F368A5F294D}"/>
              </c:ext>
            </c:extLst>
          </c:dPt>
          <c:cat>
            <c:strRef>
              <c:f>Pivot!$U$3:$U$7</c:f>
              <c:strCache>
                <c:ptCount val="4"/>
                <c:pt idx="0">
                  <c:v>East</c:v>
                </c:pt>
                <c:pt idx="1">
                  <c:v>North</c:v>
                </c:pt>
                <c:pt idx="2">
                  <c:v>South</c:v>
                </c:pt>
                <c:pt idx="3">
                  <c:v>West</c:v>
                </c:pt>
              </c:strCache>
            </c:strRef>
          </c:cat>
          <c:val>
            <c:numRef>
              <c:f>Pivot!$V$3:$V$7</c:f>
              <c:numCache>
                <c:formatCode>_-[$₦-46A]* #,##0_-;\-[$₦-46A]* #,##0_-;_-[$₦-46A]* "-"_-;_-@_-</c:formatCode>
                <c:ptCount val="4"/>
                <c:pt idx="0">
                  <c:v>237120000</c:v>
                </c:pt>
                <c:pt idx="1">
                  <c:v>113740000</c:v>
                </c:pt>
                <c:pt idx="2">
                  <c:v>138110000</c:v>
                </c:pt>
                <c:pt idx="3">
                  <c:v>158355000</c:v>
                </c:pt>
              </c:numCache>
            </c:numRef>
          </c:val>
          <c:extLst>
            <c:ext xmlns:c16="http://schemas.microsoft.com/office/drawing/2014/chart" uri="{C3380CC4-5D6E-409C-BE32-E72D297353CC}">
              <c16:uniqueId val="{00000008-5C1C-4396-9015-3F368A5F29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Total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Pivot!$F$3:$F$10</c:f>
              <c:strCache>
                <c:ptCount val="7"/>
                <c:pt idx="0">
                  <c:v>Phone X12</c:v>
                </c:pt>
                <c:pt idx="1">
                  <c:v>Speaker S10</c:v>
                </c:pt>
                <c:pt idx="2">
                  <c:v>Camera C100</c:v>
                </c:pt>
                <c:pt idx="3">
                  <c:v>Monitor M24</c:v>
                </c:pt>
                <c:pt idx="4">
                  <c:v>Laptop  A15</c:v>
                </c:pt>
                <c:pt idx="5">
                  <c:v>Tv 43Q</c:v>
                </c:pt>
                <c:pt idx="6">
                  <c:v>Tablet  T8</c:v>
                </c:pt>
              </c:strCache>
            </c:strRef>
          </c:cat>
          <c:val>
            <c:numRef>
              <c:f>Pivot!$G$3:$G$10</c:f>
              <c:numCache>
                <c:formatCode>General</c:formatCode>
                <c:ptCount val="7"/>
                <c:pt idx="0">
                  <c:v>82</c:v>
                </c:pt>
                <c:pt idx="1">
                  <c:v>105</c:v>
                </c:pt>
                <c:pt idx="2">
                  <c:v>146</c:v>
                </c:pt>
                <c:pt idx="3">
                  <c:v>176</c:v>
                </c:pt>
                <c:pt idx="4">
                  <c:v>191</c:v>
                </c:pt>
                <c:pt idx="5">
                  <c:v>215</c:v>
                </c:pt>
                <c:pt idx="6">
                  <c:v>226</c:v>
                </c:pt>
              </c:numCache>
            </c:numRef>
          </c:val>
          <c:extLst>
            <c:ext xmlns:c16="http://schemas.microsoft.com/office/drawing/2014/chart" uri="{C3380CC4-5D6E-409C-BE32-E72D297353CC}">
              <c16:uniqueId val="{00000000-BB54-47D5-8230-E8212451792F}"/>
            </c:ext>
          </c:extLst>
        </c:ser>
        <c:dLbls>
          <c:dLblPos val="outEnd"/>
          <c:showLegendKey val="0"/>
          <c:showVal val="1"/>
          <c:showCatName val="0"/>
          <c:showSerName val="0"/>
          <c:showPercent val="0"/>
          <c:showBubbleSize val="0"/>
        </c:dLbls>
        <c:gapWidth val="182"/>
        <c:axId val="64651904"/>
        <c:axId val="64652864"/>
      </c:barChart>
      <c:catAx>
        <c:axId val="6465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2864"/>
        <c:crosses val="autoZero"/>
        <c:auto val="1"/>
        <c:lblAlgn val="ctr"/>
        <c:lblOffset val="100"/>
        <c:noMultiLvlLbl val="0"/>
      </c:catAx>
      <c:valAx>
        <c:axId val="64652864"/>
        <c:scaling>
          <c:orientation val="minMax"/>
        </c:scaling>
        <c:delete val="1"/>
        <c:axPos val="b"/>
        <c:numFmt formatCode="General" sourceLinked="1"/>
        <c:majorTickMark val="none"/>
        <c:minorTickMark val="none"/>
        <c:tickLblPos val="nextTo"/>
        <c:crossAx val="6465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Consolas" panose="020B0609020204030204" pitchFamily="49" charset="0"/>
              </a:rPr>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Jan</c:v>
                </c:pt>
                <c:pt idx="1">
                  <c:v>Feb</c:v>
                </c:pt>
                <c:pt idx="2">
                  <c:v>Mar</c:v>
                </c:pt>
                <c:pt idx="3">
                  <c:v>Apr</c:v>
                </c:pt>
                <c:pt idx="4">
                  <c:v>May</c:v>
                </c:pt>
                <c:pt idx="5">
                  <c:v>Jun</c:v>
                </c:pt>
              </c:strCache>
            </c:strRef>
          </c:cat>
          <c:val>
            <c:numRef>
              <c:f>Pivot!$B$4:$B$10</c:f>
              <c:numCache>
                <c:formatCode>_-[$₦-46A]* #,##0_-;\-[$₦-46A]* #,##0_-;_-[$₦-46A]* "-"_-;_-@_-</c:formatCode>
                <c:ptCount val="6"/>
                <c:pt idx="0">
                  <c:v>163045000</c:v>
                </c:pt>
                <c:pt idx="1">
                  <c:v>187985000</c:v>
                </c:pt>
                <c:pt idx="2">
                  <c:v>63870000</c:v>
                </c:pt>
                <c:pt idx="3">
                  <c:v>98545000</c:v>
                </c:pt>
                <c:pt idx="4">
                  <c:v>75035000</c:v>
                </c:pt>
                <c:pt idx="5">
                  <c:v>58845000</c:v>
                </c:pt>
              </c:numCache>
            </c:numRef>
          </c:val>
          <c:smooth val="0"/>
          <c:extLst>
            <c:ext xmlns:c16="http://schemas.microsoft.com/office/drawing/2014/chart" uri="{C3380CC4-5D6E-409C-BE32-E72D297353CC}">
              <c16:uniqueId val="{0000004D-B40B-4BD1-BECF-01BA8923AA82}"/>
            </c:ext>
          </c:extLst>
        </c:ser>
        <c:dLbls>
          <c:dLblPos val="t"/>
          <c:showLegendKey val="0"/>
          <c:showVal val="1"/>
          <c:showCatName val="0"/>
          <c:showSerName val="0"/>
          <c:showPercent val="0"/>
          <c:showBubbleSize val="0"/>
        </c:dLbls>
        <c:smooth val="0"/>
        <c:axId val="65658000"/>
        <c:axId val="65657040"/>
      </c:lineChart>
      <c:catAx>
        <c:axId val="656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65657040"/>
        <c:crosses val="autoZero"/>
        <c:auto val="1"/>
        <c:lblAlgn val="ctr"/>
        <c:lblOffset val="100"/>
        <c:noMultiLvlLbl val="0"/>
      </c:catAx>
      <c:valAx>
        <c:axId val="65657040"/>
        <c:scaling>
          <c:orientation val="minMax"/>
        </c:scaling>
        <c:delete val="1"/>
        <c:axPos val="l"/>
        <c:numFmt formatCode="_-[$₦-46A]* #,##0_-;\-[$₦-46A]* #,##0_-;_-[$₦-46A]* &quot;-&quot;_-;_-@_-" sourceLinked="1"/>
        <c:majorTickMark val="none"/>
        <c:minorTickMark val="none"/>
        <c:tickLblPos val="nextTo"/>
        <c:crossAx val="6565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Dashboard.xlsx]Pivot!PivotTable31</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Daily sales</a:t>
            </a:r>
          </a:p>
          <a:p>
            <a:pPr>
              <a:defRPr b="1">
                <a:solidFill>
                  <a:schemeClr val="bg1"/>
                </a:solidFill>
                <a:latin typeface="Consolas" panose="020B0609020204030204" pitchFamily="49" charset="0"/>
              </a:defRPr>
            </a:pPr>
            <a:endParaRPr lang="en-US" b="1">
              <a:solidFill>
                <a:schemeClr val="bg1"/>
              </a:solidFill>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Pivot!$AH$2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Pivot!$AG$3:$AG$10</c:f>
              <c:strCache>
                <c:ptCount val="7"/>
                <c:pt idx="0">
                  <c:v>Sunday</c:v>
                </c:pt>
                <c:pt idx="1">
                  <c:v>Monday</c:v>
                </c:pt>
                <c:pt idx="2">
                  <c:v>Tuesday</c:v>
                </c:pt>
                <c:pt idx="3">
                  <c:v>Wednesday</c:v>
                </c:pt>
                <c:pt idx="4">
                  <c:v>Thursday</c:v>
                </c:pt>
                <c:pt idx="5">
                  <c:v>Friday</c:v>
                </c:pt>
                <c:pt idx="6">
                  <c:v>Saturday</c:v>
                </c:pt>
              </c:strCache>
            </c:strRef>
          </c:cat>
          <c:val>
            <c:numRef>
              <c:f>Pivot!$AH$3:$AH$10</c:f>
              <c:numCache>
                <c:formatCode>_-[$₦-46A]* #,##0_-;\-[$₦-46A]* #,##0_-;_-[$₦-46A]* "-"_-;_-@_-</c:formatCode>
                <c:ptCount val="7"/>
                <c:pt idx="0">
                  <c:v>127300000</c:v>
                </c:pt>
                <c:pt idx="1">
                  <c:v>112690000</c:v>
                </c:pt>
                <c:pt idx="2">
                  <c:v>59675000</c:v>
                </c:pt>
                <c:pt idx="3">
                  <c:v>93055000</c:v>
                </c:pt>
                <c:pt idx="4">
                  <c:v>106960000</c:v>
                </c:pt>
                <c:pt idx="5">
                  <c:v>85665000</c:v>
                </c:pt>
                <c:pt idx="6">
                  <c:v>61980000</c:v>
                </c:pt>
              </c:numCache>
            </c:numRef>
          </c:val>
          <c:smooth val="0"/>
          <c:extLst>
            <c:ext xmlns:c16="http://schemas.microsoft.com/office/drawing/2014/chart" uri="{C3380CC4-5D6E-409C-BE32-E72D297353CC}">
              <c16:uniqueId val="{00000000-A9BC-42F3-8732-8D899DC3A710}"/>
            </c:ext>
          </c:extLst>
        </c:ser>
        <c:dLbls>
          <c:dLblPos val="t"/>
          <c:showLegendKey val="0"/>
          <c:showVal val="1"/>
          <c:showCatName val="0"/>
          <c:showSerName val="0"/>
          <c:showPercent val="0"/>
          <c:showBubbleSize val="0"/>
        </c:dLbls>
        <c:smooth val="0"/>
        <c:axId val="391057152"/>
        <c:axId val="391059072"/>
      </c:lineChart>
      <c:catAx>
        <c:axId val="39105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391059072"/>
        <c:crosses val="autoZero"/>
        <c:auto val="1"/>
        <c:lblAlgn val="ctr"/>
        <c:lblOffset val="100"/>
        <c:noMultiLvlLbl val="0"/>
      </c:catAx>
      <c:valAx>
        <c:axId val="391059072"/>
        <c:scaling>
          <c:orientation val="minMax"/>
        </c:scaling>
        <c:delete val="1"/>
        <c:axPos val="l"/>
        <c:numFmt formatCode="_-[$₦-46A]* #,##0_-;\-[$₦-46A]* #,##0_-;_-[$₦-46A]* &quot;-&quot;_-;_-@_-" sourceLinked="1"/>
        <c:majorTickMark val="none"/>
        <c:minorTickMark val="none"/>
        <c:tickLblPos val="nextTo"/>
        <c:crossAx val="39105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Dashboard.xlsx]Pivot!PivotTable25</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Sales Rep</a:t>
            </a:r>
            <a:r>
              <a:rPr lang="en-US" b="1" baseline="0">
                <a:solidFill>
                  <a:schemeClr val="bg1"/>
                </a:solidFill>
                <a:latin typeface="Consolas" panose="020B0609020204030204" pitchFamily="49" charset="0"/>
              </a:rPr>
              <a:t> by Total Sales</a:t>
            </a:r>
            <a:endParaRPr lang="en-US" b="1">
              <a:solidFill>
                <a:schemeClr val="bg1"/>
              </a:solidFill>
              <a:latin typeface="Consolas" panose="020B0609020204030204" pitchFamily="49" charset="0"/>
            </a:endParaRPr>
          </a:p>
        </c:rich>
      </c:tx>
      <c:layout>
        <c:manualLayout>
          <c:xMode val="edge"/>
          <c:yMode val="edge"/>
          <c:x val="0.22323026043605124"/>
          <c:y val="2.72927992999289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E93D8"/>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6126513888836633"/>
              <c:y val="-6.024318867400951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78330555440596"/>
                  <c:h val="5.7532245183679054E-2"/>
                </c:manualLayout>
              </c15:layout>
            </c:ext>
          </c:extLst>
        </c:dLbl>
      </c:pivotFmt>
      <c:pivotFmt>
        <c:idx val="14"/>
        <c:spPr>
          <a:solidFill>
            <a:schemeClr val="accent1"/>
          </a:solidFill>
          <a:ln>
            <a:noFill/>
          </a:ln>
          <a:effectLst/>
        </c:spPr>
        <c:dLbl>
          <c:idx val="0"/>
          <c:layout>
            <c:manualLayout>
              <c:x val="8.6605352365974511E-2"/>
              <c:y val="-5.16370188634366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6.024318867400946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9863914608956727E-2"/>
              <c:y val="-1.721233962114564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5.9727829217913458E-3"/>
              <c:y val="-0.1118802075374461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Pivot!$AL$2</c:f>
              <c:strCache>
                <c:ptCount val="1"/>
                <c:pt idx="0">
                  <c:v>Total</c:v>
                </c:pt>
              </c:strCache>
            </c:strRef>
          </c:tx>
          <c:spPr>
            <a:solidFill>
              <a:schemeClr val="accent1"/>
            </a:solidFill>
            <a:ln>
              <a:noFill/>
            </a:ln>
            <a:effectLst/>
          </c:spPr>
          <c:invertIfNegative val="0"/>
          <c:dLbls>
            <c:dLbl>
              <c:idx val="2"/>
              <c:layout>
                <c:manualLayout>
                  <c:x val="8.6605352365974511E-2"/>
                  <c:y val="-5.1637018863436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1-42B4-8006-C25E342A9E82}"/>
                </c:ext>
              </c:extLst>
            </c:dLbl>
            <c:dLbl>
              <c:idx val="4"/>
              <c:layout>
                <c:manualLayout>
                  <c:x val="0"/>
                  <c:y val="6.02431886740094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1-42B4-8006-C25E342A9E82}"/>
                </c:ext>
              </c:extLst>
            </c:dLbl>
            <c:dLbl>
              <c:idx val="5"/>
              <c:layout>
                <c:manualLayout>
                  <c:x val="0.16126513888836633"/>
                  <c:y val="-6.024318867400951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78330555440596"/>
                      <c:h val="5.7532245183679054E-2"/>
                    </c:manualLayout>
                  </c15:layout>
                </c:ext>
                <c:ext xmlns:c16="http://schemas.microsoft.com/office/drawing/2014/chart" uri="{C3380CC4-5D6E-409C-BE32-E72D297353CC}">
                  <c16:uniqueId val="{00000000-56C1-42B4-8006-C25E342A9E82}"/>
                </c:ext>
              </c:extLst>
            </c:dLbl>
            <c:dLbl>
              <c:idx val="7"/>
              <c:layout>
                <c:manualLayout>
                  <c:x val="-2.9863914608956727E-2"/>
                  <c:y val="-1.72123396211456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1-42B4-8006-C25E342A9E82}"/>
                </c:ext>
              </c:extLst>
            </c:dLbl>
            <c:dLbl>
              <c:idx val="9"/>
              <c:layout>
                <c:manualLayout>
                  <c:x val="5.9727829217913458E-3"/>
                  <c:y val="-0.111880207537446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C1-42B4-8006-C25E342A9E8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90000"/>
                          <a:lumOff val="10000"/>
                        </a:schemeClr>
                      </a:solidFill>
                      <a:round/>
                    </a:ln>
                    <a:effectLst/>
                  </c:spPr>
                </c15:leaderLines>
              </c:ext>
            </c:extLst>
          </c:dLbls>
          <c:cat>
            <c:strRef>
              <c:f>Pivot!$AK$3:$AK$13</c:f>
              <c:strCache>
                <c:ptCount val="10"/>
                <c:pt idx="0">
                  <c:v>Grace Amos</c:v>
                </c:pt>
                <c:pt idx="1">
                  <c:v>Chinedu Nwosu</c:v>
                </c:pt>
                <c:pt idx="2">
                  <c:v>Fola Balogun</c:v>
                </c:pt>
                <c:pt idx="3">
                  <c:v>Peter Obi</c:v>
                </c:pt>
                <c:pt idx="4">
                  <c:v>Aisha Bello</c:v>
                </c:pt>
                <c:pt idx="5">
                  <c:v>Ifeanyi Okafor</c:v>
                </c:pt>
                <c:pt idx="6">
                  <c:v>Mary John</c:v>
                </c:pt>
                <c:pt idx="7">
                  <c:v>Job Austin</c:v>
                </c:pt>
                <c:pt idx="8">
                  <c:v>Praise Odunayo</c:v>
                </c:pt>
                <c:pt idx="9">
                  <c:v>Aba Joel</c:v>
                </c:pt>
              </c:strCache>
            </c:strRef>
          </c:cat>
          <c:val>
            <c:numRef>
              <c:f>Pivot!$AL$3:$AL$13</c:f>
              <c:numCache>
                <c:formatCode>_-[$₦-46A]* #,##0_-;\-[$₦-46A]* #,##0_-;_-[$₦-46A]* "-"_-;_-@_-</c:formatCode>
                <c:ptCount val="10"/>
                <c:pt idx="0">
                  <c:v>149080000</c:v>
                </c:pt>
                <c:pt idx="1">
                  <c:v>108570000</c:v>
                </c:pt>
                <c:pt idx="2">
                  <c:v>103770000</c:v>
                </c:pt>
                <c:pt idx="3">
                  <c:v>87790000</c:v>
                </c:pt>
                <c:pt idx="4">
                  <c:v>76065000</c:v>
                </c:pt>
                <c:pt idx="5">
                  <c:v>74415000</c:v>
                </c:pt>
                <c:pt idx="6">
                  <c:v>38885000</c:v>
                </c:pt>
                <c:pt idx="7">
                  <c:v>5250000</c:v>
                </c:pt>
                <c:pt idx="8">
                  <c:v>2850000</c:v>
                </c:pt>
                <c:pt idx="9">
                  <c:v>650000</c:v>
                </c:pt>
              </c:numCache>
            </c:numRef>
          </c:val>
          <c:extLst>
            <c:ext xmlns:c16="http://schemas.microsoft.com/office/drawing/2014/chart" uri="{C3380CC4-5D6E-409C-BE32-E72D297353CC}">
              <c16:uniqueId val="{00000000-E1A8-4725-BAB2-6849EC108914}"/>
            </c:ext>
          </c:extLst>
        </c:ser>
        <c:dLbls>
          <c:dLblPos val="outEnd"/>
          <c:showLegendKey val="0"/>
          <c:showVal val="1"/>
          <c:showCatName val="0"/>
          <c:showSerName val="0"/>
          <c:showPercent val="0"/>
          <c:showBubbleSize val="0"/>
        </c:dLbls>
        <c:gapWidth val="219"/>
        <c:overlap val="-27"/>
        <c:axId val="1940407792"/>
        <c:axId val="1940380432"/>
      </c:barChart>
      <c:catAx>
        <c:axId val="19404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1940380432"/>
        <c:crosses val="autoZero"/>
        <c:auto val="1"/>
        <c:lblAlgn val="ctr"/>
        <c:lblOffset val="100"/>
        <c:noMultiLvlLbl val="0"/>
      </c:catAx>
      <c:valAx>
        <c:axId val="1940380432"/>
        <c:scaling>
          <c:orientation val="minMax"/>
        </c:scaling>
        <c:delete val="1"/>
        <c:axPos val="l"/>
        <c:numFmt formatCode="_-[$₦-46A]* #,##0_-;\-[$₦-46A]* #,##0_-;_-[$₦-46A]* &quot;-&quot;_-;_-@_-" sourceLinked="1"/>
        <c:majorTickMark val="none"/>
        <c:minorTickMark val="none"/>
        <c:tickLblPos val="nextTo"/>
        <c:crossAx val="194040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Consolas" panose="020B0609020204030204" pitchFamily="49" charset="0"/>
                <a:ea typeface="+mn-ea"/>
                <a:cs typeface="+mn-cs"/>
              </a:defRPr>
            </a:pPr>
            <a:r>
              <a:rPr lang="en-US">
                <a:solidFill>
                  <a:schemeClr val="bg1"/>
                </a:solidFill>
                <a:latin typeface="Consolas" panose="020B0609020204030204" pitchFamily="49" charset="0"/>
              </a:rPr>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99"/>
          </a:solidFill>
          <a:ln>
            <a:noFill/>
          </a:ln>
          <a:effectLst/>
        </c:spPr>
        <c:dLbl>
          <c:idx val="0"/>
          <c:layout>
            <c:manualLayout>
              <c:x val="-3.9842512274317302E-2"/>
              <c:y val="3.319588221697709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C9DCA"/>
          </a:solidFill>
          <a:ln>
            <a:noFill/>
          </a:ln>
          <a:effectLst/>
        </c:spPr>
      </c:pivotFmt>
      <c:pivotFmt>
        <c:idx val="7"/>
        <c:spPr>
          <a:solidFill>
            <a:srgbClr val="FFC000"/>
          </a:solidFill>
          <a:ln>
            <a:noFill/>
          </a:ln>
          <a:effectLst/>
        </c:spPr>
      </c:pivotFmt>
      <c:pivotFmt>
        <c:idx val="8"/>
        <c:spPr>
          <a:solidFill>
            <a:srgbClr val="B4521C"/>
          </a:solidFill>
          <a:ln>
            <a:noFill/>
          </a:ln>
          <a:effectLst/>
        </c:spPr>
      </c:pivotFmt>
      <c:pivotFmt>
        <c:idx val="9"/>
        <c:spPr>
          <a:solidFill>
            <a:srgbClr val="FF3399"/>
          </a:solidFill>
          <a:ln>
            <a:noFill/>
          </a:ln>
          <a:effectLst/>
        </c:spPr>
      </c:pivotFmt>
      <c:pivotFmt>
        <c:idx val="10"/>
        <c:spPr>
          <a:solidFill>
            <a:srgbClr val="318B4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C9DC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867572007621412"/>
                  <c:h val="0.13937090367778304"/>
                </c:manualLayout>
              </c15:layout>
            </c:ext>
          </c:extLst>
        </c:dLbl>
      </c:pivotFmt>
      <c:pivotFmt>
        <c:idx val="13"/>
        <c:spPr>
          <a:solidFill>
            <a:srgbClr val="7030A0"/>
          </a:solidFill>
          <a:ln>
            <a:noFill/>
          </a:ln>
          <a:effectLst/>
        </c:spPr>
        <c:dLbl>
          <c:idx val="0"/>
          <c:layout>
            <c:manualLayout>
              <c:x val="-2.525885352649395E-2"/>
              <c:y val="-6.71990856691335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6699"/>
          </a:solidFill>
          <a:ln>
            <a:noFill/>
          </a:ln>
          <a:effectLst/>
        </c:spPr>
        <c:dLbl>
          <c:idx val="0"/>
          <c:layout>
            <c:manualLayout>
              <c:x val="0"/>
              <c:y val="-0.1343981713382671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18B44"/>
          </a:solidFill>
          <a:ln>
            <a:noFill/>
          </a:ln>
          <a:effectLst/>
        </c:spPr>
      </c:pivotFmt>
      <c:pivotFmt>
        <c:idx val="16"/>
        <c:spPr>
          <a:solidFill>
            <a:srgbClr val="6FA2B7"/>
          </a:solidFill>
          <a:ln>
            <a:noFill/>
          </a:ln>
          <a:effectLst/>
        </c:spPr>
        <c:dLbl>
          <c:idx val="0"/>
          <c:layout>
            <c:manualLayout>
              <c:x val="-2.1650445879851959E-2"/>
              <c:y val="-0.1119984761152226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1.4433630586567841E-2"/>
              <c:y val="-3.583951235687123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Pivot!$AD$2</c:f>
              <c:strCache>
                <c:ptCount val="1"/>
                <c:pt idx="0">
                  <c:v>Total</c:v>
                </c:pt>
              </c:strCache>
            </c:strRef>
          </c:tx>
          <c:spPr>
            <a:solidFill>
              <a:schemeClr val="accent1"/>
            </a:solidFill>
            <a:ln>
              <a:noFill/>
            </a:ln>
            <a:effectLst/>
          </c:spPr>
          <c:invertIfNegative val="0"/>
          <c:dPt>
            <c:idx val="0"/>
            <c:invertIfNegative val="0"/>
            <c:bubble3D val="0"/>
            <c:spPr>
              <a:solidFill>
                <a:srgbClr val="5C9DCA"/>
              </a:solidFill>
              <a:ln>
                <a:noFill/>
              </a:ln>
              <a:effectLst/>
            </c:spPr>
            <c:extLst>
              <c:ext xmlns:c16="http://schemas.microsoft.com/office/drawing/2014/chart" uri="{C3380CC4-5D6E-409C-BE32-E72D297353CC}">
                <c16:uniqueId val="{0000000E-5D4C-43A7-BC60-4416196E7F40}"/>
              </c:ext>
            </c:extLst>
          </c:dPt>
          <c:dPt>
            <c:idx val="1"/>
            <c:invertIfNegative val="0"/>
            <c:bubble3D val="0"/>
            <c:spPr>
              <a:solidFill>
                <a:srgbClr val="7030A0"/>
              </a:solidFill>
              <a:ln>
                <a:noFill/>
              </a:ln>
              <a:effectLst/>
            </c:spPr>
            <c:extLst>
              <c:ext xmlns:c16="http://schemas.microsoft.com/office/drawing/2014/chart" uri="{C3380CC4-5D6E-409C-BE32-E72D297353CC}">
                <c16:uniqueId val="{0000000F-5D4C-43A7-BC60-4416196E7F40}"/>
              </c:ext>
            </c:extLst>
          </c:dPt>
          <c:dPt>
            <c:idx val="2"/>
            <c:invertIfNegative val="0"/>
            <c:bubble3D val="0"/>
            <c:spPr>
              <a:solidFill>
                <a:srgbClr val="FF6699"/>
              </a:solidFill>
              <a:ln>
                <a:noFill/>
              </a:ln>
              <a:effectLst/>
            </c:spPr>
            <c:extLst>
              <c:ext xmlns:c16="http://schemas.microsoft.com/office/drawing/2014/chart" uri="{C3380CC4-5D6E-409C-BE32-E72D297353CC}">
                <c16:uniqueId val="{00000010-5D4C-43A7-BC60-4416196E7F40}"/>
              </c:ext>
            </c:extLst>
          </c:dPt>
          <c:dPt>
            <c:idx val="3"/>
            <c:invertIfNegative val="0"/>
            <c:bubble3D val="0"/>
            <c:spPr>
              <a:solidFill>
                <a:srgbClr val="318B44"/>
              </a:solidFill>
              <a:ln>
                <a:noFill/>
              </a:ln>
              <a:effectLst/>
            </c:spPr>
            <c:extLst>
              <c:ext xmlns:c16="http://schemas.microsoft.com/office/drawing/2014/chart" uri="{C3380CC4-5D6E-409C-BE32-E72D297353CC}">
                <c16:uniqueId val="{00000011-5D4C-43A7-BC60-4416196E7F40}"/>
              </c:ext>
            </c:extLst>
          </c:dPt>
          <c:dPt>
            <c:idx val="4"/>
            <c:invertIfNegative val="0"/>
            <c:bubble3D val="0"/>
            <c:spPr>
              <a:solidFill>
                <a:srgbClr val="6FA2B7"/>
              </a:solidFill>
              <a:ln>
                <a:noFill/>
              </a:ln>
              <a:effectLst/>
            </c:spPr>
            <c:extLst>
              <c:ext xmlns:c16="http://schemas.microsoft.com/office/drawing/2014/chart" uri="{C3380CC4-5D6E-409C-BE32-E72D297353CC}">
                <c16:uniqueId val="{00000012-5D4C-43A7-BC60-4416196E7F40}"/>
              </c:ext>
            </c:extLst>
          </c:dPt>
          <c:dPt>
            <c:idx val="5"/>
            <c:invertIfNegative val="0"/>
            <c:bubble3D val="0"/>
            <c:spPr>
              <a:solidFill>
                <a:srgbClr val="FFC000"/>
              </a:solidFill>
              <a:ln>
                <a:noFill/>
              </a:ln>
              <a:effectLst/>
            </c:spPr>
            <c:extLst>
              <c:ext xmlns:c16="http://schemas.microsoft.com/office/drawing/2014/chart" uri="{C3380CC4-5D6E-409C-BE32-E72D297353CC}">
                <c16:uniqueId val="{00000013-5D4C-43A7-BC60-4416196E7F4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5867572007621412"/>
                      <c:h val="0.13937090367778304"/>
                    </c:manualLayout>
                  </c15:layout>
                </c:ext>
                <c:ext xmlns:c16="http://schemas.microsoft.com/office/drawing/2014/chart" uri="{C3380CC4-5D6E-409C-BE32-E72D297353CC}">
                  <c16:uniqueId val="{0000000E-5D4C-43A7-BC60-4416196E7F40}"/>
                </c:ext>
              </c:extLst>
            </c:dLbl>
            <c:dLbl>
              <c:idx val="1"/>
              <c:layout>
                <c:manualLayout>
                  <c:x val="-2.525885352649395E-2"/>
                  <c:y val="-6.71990856691335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D4C-43A7-BC60-4416196E7F40}"/>
                </c:ext>
              </c:extLst>
            </c:dLbl>
            <c:dLbl>
              <c:idx val="2"/>
              <c:layout>
                <c:manualLayout>
                  <c:x val="0"/>
                  <c:y val="-0.134398171338267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D4C-43A7-BC60-4416196E7F40}"/>
                </c:ext>
              </c:extLst>
            </c:dLbl>
            <c:dLbl>
              <c:idx val="4"/>
              <c:layout>
                <c:manualLayout>
                  <c:x val="-2.1650445879851959E-2"/>
                  <c:y val="-0.111998476115222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D4C-43A7-BC60-4416196E7F40}"/>
                </c:ext>
              </c:extLst>
            </c:dLbl>
            <c:dLbl>
              <c:idx val="5"/>
              <c:layout>
                <c:manualLayout>
                  <c:x val="1.4433630586567841E-2"/>
                  <c:y val="-3.58395123568712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D4C-43A7-BC60-4416196E7F4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1">
                          <a:lumMod val="50000"/>
                        </a:schemeClr>
                      </a:solidFill>
                      <a:round/>
                    </a:ln>
                    <a:effectLst/>
                  </c:spPr>
                </c15:leaderLines>
              </c:ext>
            </c:extLst>
          </c:dLbls>
          <c:cat>
            <c:strRef>
              <c:f>Pivot!$AC$3:$AC$9</c:f>
              <c:strCache>
                <c:ptCount val="6"/>
                <c:pt idx="0">
                  <c:v>Computers</c:v>
                </c:pt>
                <c:pt idx="1">
                  <c:v>Electronics</c:v>
                </c:pt>
                <c:pt idx="2">
                  <c:v>Mobile</c:v>
                </c:pt>
                <c:pt idx="3">
                  <c:v>Photography</c:v>
                </c:pt>
                <c:pt idx="4">
                  <c:v>Peripherals</c:v>
                </c:pt>
                <c:pt idx="5">
                  <c:v>Audio</c:v>
                </c:pt>
              </c:strCache>
            </c:strRef>
          </c:cat>
          <c:val>
            <c:numRef>
              <c:f>Pivot!$AD$3:$AD$9</c:f>
              <c:numCache>
                <c:formatCode>_-[$₦-46A]* #,##0_-;\-[$₦-46A]* #,##0_-;_-[$₦-46A]* "-"_-;_-@_-</c:formatCode>
                <c:ptCount val="6"/>
                <c:pt idx="0">
                  <c:v>477500000</c:v>
                </c:pt>
                <c:pt idx="1">
                  <c:v>75250000</c:v>
                </c:pt>
                <c:pt idx="2">
                  <c:v>48660000</c:v>
                </c:pt>
                <c:pt idx="3">
                  <c:v>25550000</c:v>
                </c:pt>
                <c:pt idx="4">
                  <c:v>11440000</c:v>
                </c:pt>
                <c:pt idx="5">
                  <c:v>8925000</c:v>
                </c:pt>
              </c:numCache>
            </c:numRef>
          </c:val>
          <c:extLst>
            <c:ext xmlns:c16="http://schemas.microsoft.com/office/drawing/2014/chart" uri="{C3380CC4-5D6E-409C-BE32-E72D297353CC}">
              <c16:uniqueId val="{0000000C-5D4C-43A7-BC60-4416196E7F40}"/>
            </c:ext>
          </c:extLst>
        </c:ser>
        <c:dLbls>
          <c:dLblPos val="outEnd"/>
          <c:showLegendKey val="0"/>
          <c:showVal val="1"/>
          <c:showCatName val="0"/>
          <c:showSerName val="0"/>
          <c:showPercent val="0"/>
          <c:showBubbleSize val="0"/>
        </c:dLbls>
        <c:gapWidth val="219"/>
        <c:overlap val="-27"/>
        <c:axId val="1940391952"/>
        <c:axId val="1940394352"/>
      </c:barChart>
      <c:catAx>
        <c:axId val="19403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1940394352"/>
        <c:crosses val="autoZero"/>
        <c:auto val="1"/>
        <c:lblAlgn val="ctr"/>
        <c:lblOffset val="100"/>
        <c:noMultiLvlLbl val="0"/>
      </c:catAx>
      <c:valAx>
        <c:axId val="1940394352"/>
        <c:scaling>
          <c:orientation val="minMax"/>
        </c:scaling>
        <c:delete val="1"/>
        <c:axPos val="l"/>
        <c:numFmt formatCode="_-[$₦-46A]* #,##0_-;\-[$₦-46A]* #,##0_-;_-[$₦-46A]* &quot;-&quot;_-;_-@_-" sourceLinked="1"/>
        <c:majorTickMark val="none"/>
        <c:minorTickMark val="none"/>
        <c:tickLblPos val="nextTo"/>
        <c:crossAx val="19403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Product</a:t>
            </a:r>
            <a:r>
              <a:rPr lang="en-US" b="1" baseline="0">
                <a:solidFill>
                  <a:schemeClr val="bg1"/>
                </a:solidFill>
                <a:latin typeface="Consolas" panose="020B0609020204030204" pitchFamily="49" charset="0"/>
              </a:rPr>
              <a:t> by Total Quantity Sold</a:t>
            </a:r>
            <a:endParaRPr lang="en-US" b="1">
              <a:solidFill>
                <a:schemeClr val="bg1"/>
              </a:solidFill>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E93D8"/>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Pivot!$F$3:$F$10</c:f>
              <c:strCache>
                <c:ptCount val="7"/>
                <c:pt idx="0">
                  <c:v>Phone X12</c:v>
                </c:pt>
                <c:pt idx="1">
                  <c:v>Speaker S10</c:v>
                </c:pt>
                <c:pt idx="2">
                  <c:v>Camera C100</c:v>
                </c:pt>
                <c:pt idx="3">
                  <c:v>Monitor M24</c:v>
                </c:pt>
                <c:pt idx="4">
                  <c:v>Laptop  A15</c:v>
                </c:pt>
                <c:pt idx="5">
                  <c:v>Tv 43Q</c:v>
                </c:pt>
                <c:pt idx="6">
                  <c:v>Tablet  T8</c:v>
                </c:pt>
              </c:strCache>
            </c:strRef>
          </c:cat>
          <c:val>
            <c:numRef>
              <c:f>Pivot!$G$3:$G$10</c:f>
              <c:numCache>
                <c:formatCode>General</c:formatCode>
                <c:ptCount val="7"/>
                <c:pt idx="0">
                  <c:v>82</c:v>
                </c:pt>
                <c:pt idx="1">
                  <c:v>105</c:v>
                </c:pt>
                <c:pt idx="2">
                  <c:v>146</c:v>
                </c:pt>
                <c:pt idx="3">
                  <c:v>176</c:v>
                </c:pt>
                <c:pt idx="4">
                  <c:v>191</c:v>
                </c:pt>
                <c:pt idx="5">
                  <c:v>215</c:v>
                </c:pt>
                <c:pt idx="6">
                  <c:v>226</c:v>
                </c:pt>
              </c:numCache>
            </c:numRef>
          </c:val>
          <c:extLst>
            <c:ext xmlns:c16="http://schemas.microsoft.com/office/drawing/2014/chart" uri="{C3380CC4-5D6E-409C-BE32-E72D297353CC}">
              <c16:uniqueId val="{00000000-8563-436C-A4E3-7E32E448D438}"/>
            </c:ext>
          </c:extLst>
        </c:ser>
        <c:dLbls>
          <c:dLblPos val="outEnd"/>
          <c:showLegendKey val="0"/>
          <c:showVal val="1"/>
          <c:showCatName val="0"/>
          <c:showSerName val="0"/>
          <c:showPercent val="0"/>
          <c:showBubbleSize val="0"/>
        </c:dLbls>
        <c:gapWidth val="182"/>
        <c:axId val="64651904"/>
        <c:axId val="64652864"/>
      </c:barChart>
      <c:catAx>
        <c:axId val="6465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64652864"/>
        <c:crosses val="autoZero"/>
        <c:auto val="1"/>
        <c:lblAlgn val="ctr"/>
        <c:lblOffset val="100"/>
        <c:noMultiLvlLbl val="0"/>
      </c:catAx>
      <c:valAx>
        <c:axId val="64652864"/>
        <c:scaling>
          <c:orientation val="minMax"/>
        </c:scaling>
        <c:delete val="1"/>
        <c:axPos val="b"/>
        <c:numFmt formatCode="General" sourceLinked="1"/>
        <c:majorTickMark val="none"/>
        <c:minorTickMark val="none"/>
        <c:tickLblPos val="nextTo"/>
        <c:crossAx val="6465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Dashboard.xlsx]Pivot!PivotTable18</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Sales by</a:t>
            </a:r>
            <a:r>
              <a:rPr lang="en-US" b="1" baseline="0">
                <a:solidFill>
                  <a:schemeClr val="bg1"/>
                </a:solidFill>
                <a:latin typeface="Consolas" panose="020B0609020204030204" pitchFamily="49" charset="0"/>
              </a:rPr>
              <a:t> Region</a:t>
            </a:r>
            <a:endParaRPr lang="en-US" b="1">
              <a:solidFill>
                <a:schemeClr val="bg1"/>
              </a:solidFill>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48017684081976"/>
                  <c:h val="0.18368173096325185"/>
                </c:manualLayout>
              </c15:layout>
            </c:ext>
          </c:extLst>
        </c:dLbl>
      </c:pivotFmt>
      <c:pivotFmt>
        <c:idx val="2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12126591097675"/>
                  <c:h val="0.18368173096325185"/>
                </c:manualLayout>
              </c15:layout>
            </c:ext>
          </c:extLst>
        </c:dLbl>
      </c:pivotFmt>
      <c:pivotFmt>
        <c:idx val="2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94593594902223"/>
                  <c:h val="0.18368173096325185"/>
                </c:manualLayout>
              </c15:layout>
            </c:ext>
          </c:extLst>
        </c:dLbl>
      </c:pivotFmt>
      <c:pivotFmt>
        <c:idx val="2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94593594902223"/>
                  <c:h val="0.18368173096325185"/>
                </c:manualLayout>
              </c15:layout>
            </c:ext>
          </c:extLst>
        </c:dLbl>
      </c:pivotFmt>
    </c:pivotFmts>
    <c:plotArea>
      <c:layout/>
      <c:pieChart>
        <c:varyColors val="1"/>
        <c:ser>
          <c:idx val="0"/>
          <c:order val="0"/>
          <c:tx>
            <c:strRef>
              <c:f>Pivot!$V$2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F9-492B-8200-13E4037C3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F9-492B-8200-13E4037C3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F9-492B-8200-13E4037C3D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F9-492B-8200-13E4037C3DC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548017684081976"/>
                      <c:h val="0.18368173096325185"/>
                    </c:manualLayout>
                  </c15:layout>
                </c:ext>
                <c:ext xmlns:c16="http://schemas.microsoft.com/office/drawing/2014/chart" uri="{C3380CC4-5D6E-409C-BE32-E72D297353CC}">
                  <c16:uniqueId val="{00000001-F7F9-492B-8200-13E4037C3DC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412126591097675"/>
                      <c:h val="0.18368173096325185"/>
                    </c:manualLayout>
                  </c15:layout>
                </c:ext>
                <c:ext xmlns:c16="http://schemas.microsoft.com/office/drawing/2014/chart" uri="{C3380CC4-5D6E-409C-BE32-E72D297353CC}">
                  <c16:uniqueId val="{00000003-F7F9-492B-8200-13E4037C3DC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994593594902223"/>
                      <c:h val="0.18368173096325185"/>
                    </c:manualLayout>
                  </c15:layout>
                </c:ext>
                <c:ext xmlns:c16="http://schemas.microsoft.com/office/drawing/2014/chart" uri="{C3380CC4-5D6E-409C-BE32-E72D297353CC}">
                  <c16:uniqueId val="{00000005-F7F9-492B-8200-13E4037C3DC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994593594902223"/>
                      <c:h val="0.18368173096325185"/>
                    </c:manualLayout>
                  </c15:layout>
                </c:ext>
                <c:ext xmlns:c16="http://schemas.microsoft.com/office/drawing/2014/chart" uri="{C3380CC4-5D6E-409C-BE32-E72D297353CC}">
                  <c16:uniqueId val="{00000007-F7F9-492B-8200-13E4037C3D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2">
                      <a:lumMod val="90000"/>
                      <a:lumOff val="10000"/>
                    </a:schemeClr>
                  </a:solidFill>
                  <a:round/>
                </a:ln>
                <a:effectLst/>
              </c:spPr>
            </c:leaderLines>
            <c:extLst>
              <c:ext xmlns:c15="http://schemas.microsoft.com/office/drawing/2012/chart" uri="{CE6537A1-D6FC-4f65-9D91-7224C49458BB}"/>
            </c:extLst>
          </c:dLbls>
          <c:cat>
            <c:strRef>
              <c:f>Pivot!$U$3:$U$7</c:f>
              <c:strCache>
                <c:ptCount val="4"/>
                <c:pt idx="0">
                  <c:v>East</c:v>
                </c:pt>
                <c:pt idx="1">
                  <c:v>North</c:v>
                </c:pt>
                <c:pt idx="2">
                  <c:v>South</c:v>
                </c:pt>
                <c:pt idx="3">
                  <c:v>West</c:v>
                </c:pt>
              </c:strCache>
            </c:strRef>
          </c:cat>
          <c:val>
            <c:numRef>
              <c:f>Pivot!$V$3:$V$7</c:f>
              <c:numCache>
                <c:formatCode>_-[$₦-46A]* #,##0_-;\-[$₦-46A]* #,##0_-;_-[$₦-46A]* "-"_-;_-@_-</c:formatCode>
                <c:ptCount val="4"/>
                <c:pt idx="0">
                  <c:v>237120000</c:v>
                </c:pt>
                <c:pt idx="1">
                  <c:v>113740000</c:v>
                </c:pt>
                <c:pt idx="2">
                  <c:v>138110000</c:v>
                </c:pt>
                <c:pt idx="3">
                  <c:v>158355000</c:v>
                </c:pt>
              </c:numCache>
            </c:numRef>
          </c:val>
          <c:extLst>
            <c:ext xmlns:c16="http://schemas.microsoft.com/office/drawing/2014/chart" uri="{C3380CC4-5D6E-409C-BE32-E72D297353CC}">
              <c16:uniqueId val="{00000008-A8F5-40D8-B70A-A3EA2263966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Dashboard.xlsx]Pivot!PivotTable24</c:name>
    <c:fmtId val="4"/>
  </c:pivotSource>
  <c:chart>
    <c:title>
      <c:tx>
        <c:rich>
          <a:bodyPr rot="0" spcFirstLastPara="1" vertOverflow="ellipsis" vert="horz" wrap="square" anchor="ctr" anchorCtr="1"/>
          <a:lstStyle/>
          <a:p>
            <a:pPr>
              <a:defRPr lang="en-US" sz="12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Top 5 Customer by Total Order</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E93D8"/>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Pivot!$Y$3:$Y$17</c:f>
              <c:strCache>
                <c:ptCount val="14"/>
                <c:pt idx="0">
                  <c:v>Femi Tech</c:v>
                </c:pt>
                <c:pt idx="1">
                  <c:v>Musa Enterprises</c:v>
                </c:pt>
                <c:pt idx="2">
                  <c:v>Omega Wholesale</c:v>
                </c:pt>
                <c:pt idx="3">
                  <c:v>Bright Solutions</c:v>
                </c:pt>
                <c:pt idx="4">
                  <c:v>Kelvin Tech</c:v>
                </c:pt>
                <c:pt idx="5">
                  <c:v>Chika Mart</c:v>
                </c:pt>
                <c:pt idx="6">
                  <c:v>Alpha Retailers</c:v>
                </c:pt>
                <c:pt idx="7">
                  <c:v>Emeka Traders</c:v>
                </c:pt>
                <c:pt idx="8">
                  <c:v>Maryam Ltd</c:v>
                </c:pt>
                <c:pt idx="9">
                  <c:v>Jide Superstores</c:v>
                </c:pt>
                <c:pt idx="10">
                  <c:v>Tope &amp; Sons</c:v>
                </c:pt>
                <c:pt idx="11">
                  <c:v>Tola Ventures</c:v>
                </c:pt>
                <c:pt idx="12">
                  <c:v>Zainab Global</c:v>
                </c:pt>
                <c:pt idx="13">
                  <c:v>Adewales Stores</c:v>
                </c:pt>
              </c:strCache>
            </c:strRef>
          </c:cat>
          <c:val>
            <c:numRef>
              <c:f>Pivot!$Z$3:$Z$17</c:f>
              <c:numCache>
                <c:formatCode>General</c:formatCode>
                <c:ptCount val="14"/>
                <c:pt idx="0">
                  <c:v>13</c:v>
                </c:pt>
                <c:pt idx="1">
                  <c:v>11</c:v>
                </c:pt>
                <c:pt idx="2">
                  <c:v>9</c:v>
                </c:pt>
                <c:pt idx="3">
                  <c:v>8</c:v>
                </c:pt>
                <c:pt idx="4">
                  <c:v>8</c:v>
                </c:pt>
                <c:pt idx="5">
                  <c:v>8</c:v>
                </c:pt>
                <c:pt idx="6">
                  <c:v>7</c:v>
                </c:pt>
                <c:pt idx="7">
                  <c:v>7</c:v>
                </c:pt>
                <c:pt idx="8">
                  <c:v>6</c:v>
                </c:pt>
                <c:pt idx="9">
                  <c:v>6</c:v>
                </c:pt>
                <c:pt idx="10">
                  <c:v>5</c:v>
                </c:pt>
                <c:pt idx="11">
                  <c:v>5</c:v>
                </c:pt>
                <c:pt idx="12">
                  <c:v>4</c:v>
                </c:pt>
                <c:pt idx="13">
                  <c:v>3</c:v>
                </c:pt>
              </c:numCache>
            </c:numRef>
          </c:val>
          <c:extLst>
            <c:ext xmlns:c16="http://schemas.microsoft.com/office/drawing/2014/chart" uri="{C3380CC4-5D6E-409C-BE32-E72D297353CC}">
              <c16:uniqueId val="{00000001-2887-4ADA-BA8B-D85049AE52BB}"/>
            </c:ext>
          </c:extLst>
        </c:ser>
        <c:dLbls>
          <c:dLblPos val="outEnd"/>
          <c:showLegendKey val="0"/>
          <c:showVal val="1"/>
          <c:showCatName val="0"/>
          <c:showSerName val="0"/>
          <c:showPercent val="0"/>
          <c:showBubbleSize val="0"/>
        </c:dLbls>
        <c:gapWidth val="219"/>
        <c:overlap val="-27"/>
        <c:axId val="64655744"/>
        <c:axId val="64656704"/>
      </c:barChart>
      <c:catAx>
        <c:axId val="6465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Consolas" panose="020B0609020204030204" pitchFamily="49" charset="0"/>
                <a:ea typeface="+mn-ea"/>
                <a:cs typeface="+mn-cs"/>
              </a:defRPr>
            </a:pPr>
            <a:endParaRPr lang="en-US"/>
          </a:p>
        </c:txPr>
        <c:crossAx val="64656704"/>
        <c:crosses val="autoZero"/>
        <c:auto val="1"/>
        <c:lblAlgn val="ctr"/>
        <c:lblOffset val="100"/>
        <c:noMultiLvlLbl val="0"/>
      </c:catAx>
      <c:valAx>
        <c:axId val="64656704"/>
        <c:scaling>
          <c:orientation val="minMax"/>
        </c:scaling>
        <c:delete val="1"/>
        <c:axPos val="l"/>
        <c:numFmt formatCode="General" sourceLinked="1"/>
        <c:majorTickMark val="none"/>
        <c:minorTickMark val="none"/>
        <c:tickLblPos val="nextTo"/>
        <c:crossAx val="6465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Sales Excel Dashboard.xlsx]Pivot!PivotTable19</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r>
              <a:rPr lang="en-US" b="1">
                <a:solidFill>
                  <a:schemeClr val="bg1"/>
                </a:solidFill>
                <a:latin typeface="Consolas" panose="020B0609020204030204" pitchFamily="49" charset="0"/>
              </a:rPr>
              <a:t>Product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onsolas" panose="020B0609020204030204" pitchFamily="49"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a:schemeClr val="accent1">
                <a:alpha val="40000"/>
              </a:schemeClr>
            </a:glow>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9DCA"/>
          </a:solidFill>
          <a:ln>
            <a:noFill/>
          </a:ln>
          <a:effectLst>
            <a:glow>
              <a:schemeClr val="accent1">
                <a:alpha val="40000"/>
              </a:schemeClr>
            </a:glow>
            <a:outerShdw blurRad="50800" dist="38100" algn="l" rotWithShape="0">
              <a:prstClr val="black">
                <a:alpha val="40000"/>
              </a:prstClr>
            </a:outerShdw>
          </a:effectLst>
        </c:spPr>
      </c:pivotFmt>
      <c:pivotFmt>
        <c:idx val="6"/>
        <c:spPr>
          <a:solidFill>
            <a:srgbClr val="FF6699"/>
          </a:solidFill>
          <a:ln>
            <a:noFill/>
          </a:ln>
          <a:effectLst>
            <a:glow>
              <a:schemeClr val="accent1">
                <a:alpha val="40000"/>
              </a:schemeClr>
            </a:glow>
            <a:outerShdw blurRad="50800" dist="38100" algn="l" rotWithShape="0">
              <a:prstClr val="black">
                <a:alpha val="40000"/>
              </a:prstClr>
            </a:outerShdw>
          </a:effectLst>
        </c:spPr>
      </c:pivotFmt>
      <c:pivotFmt>
        <c:idx val="7"/>
        <c:spPr>
          <a:solidFill>
            <a:srgbClr val="FFC000"/>
          </a:solidFill>
          <a:ln>
            <a:noFill/>
          </a:ln>
          <a:effectLst>
            <a:glow>
              <a:schemeClr val="accent1">
                <a:alpha val="40000"/>
              </a:schemeClr>
            </a:glow>
            <a:outerShdw blurRad="50800" dist="38100" algn="l" rotWithShape="0">
              <a:prstClr val="black">
                <a:alpha val="40000"/>
              </a:prstClr>
            </a:outerShdw>
          </a:effectLst>
        </c:spPr>
      </c:pivotFmt>
      <c:pivotFmt>
        <c:idx val="8"/>
        <c:spPr>
          <a:solidFill>
            <a:srgbClr val="B4521C"/>
          </a:solidFill>
          <a:ln>
            <a:noFill/>
          </a:ln>
          <a:effectLst>
            <a:glow>
              <a:schemeClr val="accent1">
                <a:alpha val="40000"/>
              </a:schemeClr>
            </a:glow>
            <a:outerShdw blurRad="50800" dist="38100" algn="l" rotWithShape="0">
              <a:prstClr val="black">
                <a:alpha val="40000"/>
              </a:prstClr>
            </a:outerShdw>
          </a:effectLst>
        </c:spPr>
      </c:pivotFmt>
      <c:pivotFmt>
        <c:idx val="9"/>
        <c:spPr>
          <a:solidFill>
            <a:srgbClr val="FF3399"/>
          </a:solidFill>
          <a:ln>
            <a:noFill/>
          </a:ln>
          <a:effectLst>
            <a:glow>
              <a:schemeClr val="accent1">
                <a:alpha val="40000"/>
              </a:schemeClr>
            </a:glow>
            <a:outerShdw blurRad="50800" dist="38100" algn="l" rotWithShape="0">
              <a:prstClr val="black">
                <a:alpha val="40000"/>
              </a:prstClr>
            </a:outerShdw>
          </a:effectLst>
        </c:spPr>
      </c:pivotFmt>
      <c:pivotFmt>
        <c:idx val="10"/>
        <c:spPr>
          <a:solidFill>
            <a:srgbClr val="7030A0"/>
          </a:solidFill>
          <a:ln>
            <a:noFill/>
          </a:ln>
          <a:effectLst>
            <a:glow>
              <a:schemeClr val="accent1">
                <a:alpha val="40000"/>
              </a:schemeClr>
            </a:glow>
            <a:outerShdw blurRad="50800" dist="38100" algn="l" rotWithShape="0">
              <a:prstClr val="black">
                <a:alpha val="40000"/>
              </a:prstClr>
            </a:outerShdw>
          </a:effectLst>
        </c:spPr>
      </c:pivotFmt>
      <c:pivotFmt>
        <c:idx val="11"/>
        <c:spPr>
          <a:solidFill>
            <a:srgbClr val="318B44"/>
          </a:solidFill>
          <a:ln>
            <a:noFill/>
          </a:ln>
          <a:effectLst>
            <a:glow>
              <a:schemeClr val="accent1">
                <a:alpha val="40000"/>
              </a:schemeClr>
            </a:glow>
            <a:outerShdw blurRad="50800" dist="38100" algn="l" rotWithShape="0">
              <a:prstClr val="black">
                <a:alpha val="40000"/>
              </a:prstClr>
            </a:outerShdw>
          </a:effectLst>
        </c:spPr>
      </c:pivotFmt>
      <c:pivotFmt>
        <c:idx val="12"/>
        <c:spPr>
          <a:solidFill>
            <a:srgbClr val="4E93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18B44"/>
          </a:solidFill>
          <a:ln>
            <a:noFill/>
          </a:ln>
          <a:effectLst/>
        </c:spPr>
      </c:pivotFmt>
      <c:pivotFmt>
        <c:idx val="14"/>
        <c:spPr>
          <a:solidFill>
            <a:srgbClr val="FF3399"/>
          </a:solidFill>
          <a:ln>
            <a:noFill/>
          </a:ln>
          <a:effectLst/>
        </c:spPr>
      </c:pivotFmt>
      <c:pivotFmt>
        <c:idx val="15"/>
        <c:spPr>
          <a:solidFill>
            <a:srgbClr val="B4521C"/>
          </a:solidFill>
          <a:ln>
            <a:noFill/>
          </a:ln>
          <a:effectLst/>
        </c:spPr>
      </c:pivotFmt>
      <c:pivotFmt>
        <c:idx val="16"/>
        <c:spPr>
          <a:solidFill>
            <a:srgbClr val="FFC000"/>
          </a:solidFill>
          <a:ln>
            <a:noFill/>
          </a:ln>
          <a:effectLst/>
        </c:spPr>
      </c:pivotFmt>
      <c:pivotFmt>
        <c:idx val="17"/>
        <c:spPr>
          <a:solidFill>
            <a:schemeClr val="accent5">
              <a:lumMod val="60000"/>
              <a:lumOff val="40000"/>
            </a:schemeClr>
          </a:solidFill>
          <a:ln>
            <a:noFill/>
          </a:ln>
          <a:effectLst/>
        </c:spPr>
      </c:pivotFmt>
      <c:pivotFmt>
        <c:idx val="18"/>
        <c:spPr>
          <a:solidFill>
            <a:srgbClr val="FF0000"/>
          </a:solidFill>
          <a:ln>
            <a:noFill/>
          </a:ln>
          <a:effectLst/>
        </c:spPr>
      </c:pivotFmt>
    </c:pivotFmts>
    <c:plotArea>
      <c:layout/>
      <c:barChart>
        <c:barDir val="col"/>
        <c:grouping val="clustered"/>
        <c:varyColors val="0"/>
        <c:ser>
          <c:idx val="0"/>
          <c:order val="0"/>
          <c:tx>
            <c:strRef>
              <c:f>Pivot!$AQ$2</c:f>
              <c:strCache>
                <c:ptCount val="1"/>
                <c:pt idx="0">
                  <c:v>Total</c:v>
                </c:pt>
              </c:strCache>
            </c:strRef>
          </c:tx>
          <c:spPr>
            <a:solidFill>
              <a:srgbClr val="4E93D8"/>
            </a:solidFill>
            <a:ln>
              <a:noFill/>
            </a:ln>
            <a:effectLst/>
          </c:spPr>
          <c:invertIfNegative val="0"/>
          <c:dPt>
            <c:idx val="1"/>
            <c:invertIfNegative val="0"/>
            <c:bubble3D val="0"/>
            <c:spPr>
              <a:solidFill>
                <a:srgbClr val="318B44"/>
              </a:solidFill>
              <a:ln>
                <a:noFill/>
              </a:ln>
              <a:effectLst/>
            </c:spPr>
            <c:extLst>
              <c:ext xmlns:c16="http://schemas.microsoft.com/office/drawing/2014/chart" uri="{C3380CC4-5D6E-409C-BE32-E72D297353CC}">
                <c16:uniqueId val="{00000010-A7AE-4AF4-98D6-969E8056B18C}"/>
              </c:ext>
            </c:extLst>
          </c:dPt>
          <c:dPt>
            <c:idx val="2"/>
            <c:invertIfNegative val="0"/>
            <c:bubble3D val="0"/>
            <c:spPr>
              <a:solidFill>
                <a:srgbClr val="FF3399"/>
              </a:solidFill>
              <a:ln>
                <a:noFill/>
              </a:ln>
              <a:effectLst/>
            </c:spPr>
            <c:extLst>
              <c:ext xmlns:c16="http://schemas.microsoft.com/office/drawing/2014/chart" uri="{C3380CC4-5D6E-409C-BE32-E72D297353CC}">
                <c16:uniqueId val="{00000011-A7AE-4AF4-98D6-969E8056B18C}"/>
              </c:ext>
            </c:extLst>
          </c:dPt>
          <c:dPt>
            <c:idx val="3"/>
            <c:invertIfNegative val="0"/>
            <c:bubble3D val="0"/>
            <c:spPr>
              <a:solidFill>
                <a:srgbClr val="B4521C"/>
              </a:solidFill>
              <a:ln>
                <a:noFill/>
              </a:ln>
              <a:effectLst/>
            </c:spPr>
            <c:extLst>
              <c:ext xmlns:c16="http://schemas.microsoft.com/office/drawing/2014/chart" uri="{C3380CC4-5D6E-409C-BE32-E72D297353CC}">
                <c16:uniqueId val="{00000012-A7AE-4AF4-98D6-969E8056B18C}"/>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3-A7AE-4AF4-98D6-969E8056B18C}"/>
              </c:ext>
            </c:extLst>
          </c:dPt>
          <c:dPt>
            <c:idx val="5"/>
            <c:invertIfNegative val="0"/>
            <c:bubble3D val="0"/>
            <c:spPr>
              <a:solidFill>
                <a:srgbClr val="FFC000"/>
              </a:solidFill>
              <a:ln>
                <a:noFill/>
              </a:ln>
              <a:effectLst/>
            </c:spPr>
            <c:extLst>
              <c:ext xmlns:c16="http://schemas.microsoft.com/office/drawing/2014/chart" uri="{C3380CC4-5D6E-409C-BE32-E72D297353CC}">
                <c16:uniqueId val="{00000014-A7AE-4AF4-98D6-969E8056B18C}"/>
              </c:ext>
            </c:extLst>
          </c:dPt>
          <c:dPt>
            <c:idx val="6"/>
            <c:invertIfNegative val="0"/>
            <c:bubble3D val="0"/>
            <c:spPr>
              <a:solidFill>
                <a:srgbClr val="FF0000"/>
              </a:solidFill>
              <a:ln>
                <a:noFill/>
              </a:ln>
              <a:effectLst/>
            </c:spPr>
            <c:extLst>
              <c:ext xmlns:c16="http://schemas.microsoft.com/office/drawing/2014/chart" uri="{C3380CC4-5D6E-409C-BE32-E72D297353CC}">
                <c16:uniqueId val="{00000015-A7AE-4AF4-98D6-969E8056B1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Pivot!$AP$3:$AP$10</c:f>
              <c:strCache>
                <c:ptCount val="7"/>
                <c:pt idx="0">
                  <c:v>Laptop  A15</c:v>
                </c:pt>
                <c:pt idx="1">
                  <c:v>Tv 43Q</c:v>
                </c:pt>
                <c:pt idx="2">
                  <c:v>Tablet  T8</c:v>
                </c:pt>
                <c:pt idx="3">
                  <c:v>Camera C100</c:v>
                </c:pt>
                <c:pt idx="4">
                  <c:v>Phone X12</c:v>
                </c:pt>
                <c:pt idx="5">
                  <c:v>Monitor M24</c:v>
                </c:pt>
                <c:pt idx="6">
                  <c:v>Speaker S10</c:v>
                </c:pt>
              </c:strCache>
            </c:strRef>
          </c:cat>
          <c:val>
            <c:numRef>
              <c:f>Pivot!$AQ$3:$AQ$10</c:f>
              <c:numCache>
                <c:formatCode>_-[$₦-46A]* #,##0_-;\-[$₦-46A]* #,##0_-;_-[$₦-46A]* "-"_-;_-@_-</c:formatCode>
                <c:ptCount val="7"/>
                <c:pt idx="0">
                  <c:v>477500000</c:v>
                </c:pt>
                <c:pt idx="1">
                  <c:v>75250000</c:v>
                </c:pt>
                <c:pt idx="2">
                  <c:v>33900000</c:v>
                </c:pt>
                <c:pt idx="3">
                  <c:v>25550000</c:v>
                </c:pt>
                <c:pt idx="4">
                  <c:v>14760000</c:v>
                </c:pt>
                <c:pt idx="5">
                  <c:v>11440000</c:v>
                </c:pt>
                <c:pt idx="6">
                  <c:v>8925000</c:v>
                </c:pt>
              </c:numCache>
            </c:numRef>
          </c:val>
          <c:extLst>
            <c:ext xmlns:c16="http://schemas.microsoft.com/office/drawing/2014/chart" uri="{C3380CC4-5D6E-409C-BE32-E72D297353CC}">
              <c16:uniqueId val="{0000000E-A7AE-4AF4-98D6-969E8056B18C}"/>
            </c:ext>
          </c:extLst>
        </c:ser>
        <c:dLbls>
          <c:dLblPos val="outEnd"/>
          <c:showLegendKey val="0"/>
          <c:showVal val="1"/>
          <c:showCatName val="0"/>
          <c:showSerName val="0"/>
          <c:showPercent val="0"/>
          <c:showBubbleSize val="0"/>
        </c:dLbls>
        <c:gapWidth val="309"/>
        <c:overlap val="3"/>
        <c:axId val="1940380912"/>
        <c:axId val="1940391472"/>
      </c:barChart>
      <c:catAx>
        <c:axId val="1940380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onsolas" panose="020B0609020204030204" pitchFamily="49" charset="0"/>
                <a:ea typeface="+mn-ea"/>
                <a:cs typeface="+mn-cs"/>
              </a:defRPr>
            </a:pPr>
            <a:endParaRPr lang="en-US"/>
          </a:p>
        </c:txPr>
        <c:crossAx val="1940391472"/>
        <c:crosses val="autoZero"/>
        <c:auto val="1"/>
        <c:lblAlgn val="ctr"/>
        <c:lblOffset val="100"/>
        <c:noMultiLvlLbl val="0"/>
      </c:catAx>
      <c:valAx>
        <c:axId val="1940391472"/>
        <c:scaling>
          <c:orientation val="minMax"/>
        </c:scaling>
        <c:delete val="1"/>
        <c:axPos val="l"/>
        <c:numFmt formatCode="_-[$₦-46A]* #,##0_-;\-[$₦-46A]* #,##0_-;_-[$₦-46A]* &quot;-&quot;_-;_-@_-" sourceLinked="1"/>
        <c:majorTickMark val="out"/>
        <c:minorTickMark val="none"/>
        <c:tickLblPos val="nextTo"/>
        <c:crossAx val="19403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133350</xdr:colOff>
      <xdr:row>97</xdr:row>
      <xdr:rowOff>113988</xdr:rowOff>
    </xdr:from>
    <xdr:to>
      <xdr:col>4</xdr:col>
      <xdr:colOff>349250</xdr:colOff>
      <xdr:row>112</xdr:row>
      <xdr:rowOff>47313</xdr:rowOff>
    </xdr:to>
    <xdr:graphicFrame macro="">
      <xdr:nvGraphicFramePr>
        <xdr:cNvPr id="9" name="Chart 8">
          <a:extLst>
            <a:ext uri="{FF2B5EF4-FFF2-40B4-BE49-F238E27FC236}">
              <a16:creationId xmlns:a16="http://schemas.microsoft.com/office/drawing/2014/main" id="{AA672B8D-D61A-EC03-109E-B2FF59D56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158751</xdr:colOff>
      <xdr:row>42</xdr:row>
      <xdr:rowOff>90714</xdr:rowOff>
    </xdr:from>
    <xdr:to>
      <xdr:col>27</xdr:col>
      <xdr:colOff>158750</xdr:colOff>
      <xdr:row>56</xdr:row>
      <xdr:rowOff>131986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FE363A6-4BC8-4300-9DC4-BF7D152845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73037" y="7710714"/>
              <a:ext cx="1814284"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446803</xdr:colOff>
      <xdr:row>41</xdr:row>
      <xdr:rowOff>154680</xdr:rowOff>
    </xdr:from>
    <xdr:to>
      <xdr:col>32</xdr:col>
      <xdr:colOff>446803</xdr:colOff>
      <xdr:row>55</xdr:row>
      <xdr:rowOff>138128</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3C2EA32C-9D30-4B6D-AD8C-0AA4F0F6AC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984898" y="7535427"/>
              <a:ext cx="1814286"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25609</xdr:colOff>
      <xdr:row>40</xdr:row>
      <xdr:rowOff>23376</xdr:rowOff>
    </xdr:from>
    <xdr:to>
      <xdr:col>39</xdr:col>
      <xdr:colOff>25608</xdr:colOff>
      <xdr:row>54</xdr:row>
      <xdr:rowOff>64648</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AFC665D6-616C-464D-A400-4D09298C1B7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21797038" y="7280519"/>
              <a:ext cx="1814284"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89387</xdr:colOff>
      <xdr:row>40</xdr:row>
      <xdr:rowOff>159378</xdr:rowOff>
    </xdr:from>
    <xdr:to>
      <xdr:col>43</xdr:col>
      <xdr:colOff>89388</xdr:colOff>
      <xdr:row>55</xdr:row>
      <xdr:rowOff>19222</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D58B435-15F8-4A7A-B337-807C724BC28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279863" y="7416521"/>
              <a:ext cx="1814287"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xdr:row>
      <xdr:rowOff>58854</xdr:rowOff>
    </xdr:from>
    <xdr:to>
      <xdr:col>7</xdr:col>
      <xdr:colOff>554094</xdr:colOff>
      <xdr:row>16</xdr:row>
      <xdr:rowOff>83033</xdr:rowOff>
    </xdr:to>
    <xdr:graphicFrame macro="">
      <xdr:nvGraphicFramePr>
        <xdr:cNvPr id="6" name="Chart 5">
          <a:extLst>
            <a:ext uri="{FF2B5EF4-FFF2-40B4-BE49-F238E27FC236}">
              <a16:creationId xmlns:a16="http://schemas.microsoft.com/office/drawing/2014/main" id="{EAE4E873-BA02-47B2-AED1-E3C3C5CF6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280257</xdr:colOff>
      <xdr:row>5</xdr:row>
      <xdr:rowOff>25401</xdr:rowOff>
    </xdr:from>
    <xdr:to>
      <xdr:col>19</xdr:col>
      <xdr:colOff>378385</xdr:colOff>
      <xdr:row>18</xdr:row>
      <xdr:rowOff>126900</xdr:rowOff>
    </xdr:to>
    <xdr:graphicFrame macro="">
      <xdr:nvGraphicFramePr>
        <xdr:cNvPr id="7" name="Chart 6">
          <a:extLst>
            <a:ext uri="{FF2B5EF4-FFF2-40B4-BE49-F238E27FC236}">
              <a16:creationId xmlns:a16="http://schemas.microsoft.com/office/drawing/2014/main" id="{BECF3B61-C2E5-46A0-90E7-DEF79361A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380443</xdr:colOff>
      <xdr:row>5</xdr:row>
      <xdr:rowOff>125476</xdr:rowOff>
    </xdr:from>
    <xdr:to>
      <xdr:col>27</xdr:col>
      <xdr:colOff>368554</xdr:colOff>
      <xdr:row>18</xdr:row>
      <xdr:rowOff>8979</xdr:rowOff>
    </xdr:to>
    <xdr:graphicFrame macro="">
      <xdr:nvGraphicFramePr>
        <xdr:cNvPr id="8" name="Chart 7">
          <a:extLst>
            <a:ext uri="{FF2B5EF4-FFF2-40B4-BE49-F238E27FC236}">
              <a16:creationId xmlns:a16="http://schemas.microsoft.com/office/drawing/2014/main" id="{69960753-60BB-41BE-ABA2-B66F1EDB8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325064</xdr:colOff>
      <xdr:row>22</xdr:row>
      <xdr:rowOff>49130</xdr:rowOff>
    </xdr:from>
    <xdr:to>
      <xdr:col>33</xdr:col>
      <xdr:colOff>258589</xdr:colOff>
      <xdr:row>37</xdr:row>
      <xdr:rowOff>15427</xdr:rowOff>
    </xdr:to>
    <xdr:graphicFrame macro="">
      <xdr:nvGraphicFramePr>
        <xdr:cNvPr id="9" name="Chart 8">
          <a:extLst>
            <a:ext uri="{FF2B5EF4-FFF2-40B4-BE49-F238E27FC236}">
              <a16:creationId xmlns:a16="http://schemas.microsoft.com/office/drawing/2014/main" id="{324B0C05-5891-42CA-A9A9-CF6A053E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112014</xdr:colOff>
      <xdr:row>21</xdr:row>
      <xdr:rowOff>165650</xdr:rowOff>
    </xdr:from>
    <xdr:to>
      <xdr:col>43</xdr:col>
      <xdr:colOff>70238</xdr:colOff>
      <xdr:row>36</xdr:row>
      <xdr:rowOff>131947</xdr:rowOff>
    </xdr:to>
    <xdr:graphicFrame macro="">
      <xdr:nvGraphicFramePr>
        <xdr:cNvPr id="10" name="Chart 9">
          <a:extLst>
            <a:ext uri="{FF2B5EF4-FFF2-40B4-BE49-F238E27FC236}">
              <a16:creationId xmlns:a16="http://schemas.microsoft.com/office/drawing/2014/main" id="{10040300-0A06-4DDB-8BBA-268A2D690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572099</xdr:colOff>
      <xdr:row>4</xdr:row>
      <xdr:rowOff>68039</xdr:rowOff>
    </xdr:from>
    <xdr:to>
      <xdr:col>43</xdr:col>
      <xdr:colOff>246040</xdr:colOff>
      <xdr:row>19</xdr:row>
      <xdr:rowOff>7494</xdr:rowOff>
    </xdr:to>
    <xdr:graphicFrame macro="">
      <xdr:nvGraphicFramePr>
        <xdr:cNvPr id="11" name="Chart 10">
          <a:extLst>
            <a:ext uri="{FF2B5EF4-FFF2-40B4-BE49-F238E27FC236}">
              <a16:creationId xmlns:a16="http://schemas.microsoft.com/office/drawing/2014/main" id="{DAF20B3F-4A7B-4ABC-AC56-F782EACA1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394170</xdr:colOff>
      <xdr:row>22</xdr:row>
      <xdr:rowOff>45357</xdr:rowOff>
    </xdr:from>
    <xdr:to>
      <xdr:col>6</xdr:col>
      <xdr:colOff>62043</xdr:colOff>
      <xdr:row>33</xdr:row>
      <xdr:rowOff>102647</xdr:rowOff>
    </xdr:to>
    <xdr:graphicFrame macro="">
      <xdr:nvGraphicFramePr>
        <xdr:cNvPr id="12" name="Chart 11">
          <a:extLst>
            <a:ext uri="{FF2B5EF4-FFF2-40B4-BE49-F238E27FC236}">
              <a16:creationId xmlns:a16="http://schemas.microsoft.com/office/drawing/2014/main" id="{D259CA6E-E931-4F2D-B279-ACF7BBD3D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38964</xdr:colOff>
      <xdr:row>23</xdr:row>
      <xdr:rowOff>39655</xdr:rowOff>
    </xdr:from>
    <xdr:to>
      <xdr:col>17</xdr:col>
      <xdr:colOff>224537</xdr:colOff>
      <xdr:row>37</xdr:row>
      <xdr:rowOff>130754</xdr:rowOff>
    </xdr:to>
    <xdr:graphicFrame macro="">
      <xdr:nvGraphicFramePr>
        <xdr:cNvPr id="13" name="Chart 12">
          <a:extLst>
            <a:ext uri="{FF2B5EF4-FFF2-40B4-BE49-F238E27FC236}">
              <a16:creationId xmlns:a16="http://schemas.microsoft.com/office/drawing/2014/main" id="{C4193207-B8BD-4216-9173-50764C7A1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589642</xdr:colOff>
      <xdr:row>44</xdr:row>
      <xdr:rowOff>61828</xdr:rowOff>
    </xdr:from>
    <xdr:to>
      <xdr:col>7</xdr:col>
      <xdr:colOff>604157</xdr:colOff>
      <xdr:row>58</xdr:row>
      <xdr:rowOff>141200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EBE9EE32-BAC0-442A-86FF-D92C99FB80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08690" y="804468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204107</xdr:colOff>
      <xdr:row>43</xdr:row>
      <xdr:rowOff>99626</xdr:rowOff>
    </xdr:from>
    <xdr:to>
      <xdr:col>15</xdr:col>
      <xdr:colOff>218621</xdr:colOff>
      <xdr:row>57</xdr:row>
      <xdr:rowOff>178998</xdr:rowOff>
    </xdr:to>
    <mc:AlternateContent xmlns:mc="http://schemas.openxmlformats.org/markup-compatibility/2006" xmlns:a14="http://schemas.microsoft.com/office/drawing/2010/main">
      <mc:Choice Requires="a14">
        <xdr:graphicFrame macro="">
          <xdr:nvGraphicFramePr>
            <xdr:cNvPr id="15" name="Sales Rep">
              <a:extLst>
                <a:ext uri="{FF2B5EF4-FFF2-40B4-BE49-F238E27FC236}">
                  <a16:creationId xmlns:a16="http://schemas.microsoft.com/office/drawing/2014/main" id="{439B1A88-9F22-470A-B5BF-8FEB3BF535AE}"/>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7461250" y="790105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575686</xdr:colOff>
      <xdr:row>42</xdr:row>
      <xdr:rowOff>115908</xdr:rowOff>
    </xdr:from>
    <xdr:to>
      <xdr:col>20</xdr:col>
      <xdr:colOff>590200</xdr:colOff>
      <xdr:row>57</xdr:row>
      <xdr:rowOff>13851</xdr:rowOff>
    </xdr:to>
    <mc:AlternateContent xmlns:mc="http://schemas.openxmlformats.org/markup-compatibility/2006" xmlns:a14="http://schemas.microsoft.com/office/drawing/2010/main">
      <mc:Choice Requires="a14">
        <xdr:graphicFrame macro="">
          <xdr:nvGraphicFramePr>
            <xdr:cNvPr id="16" name="Customer">
              <a:extLst>
                <a:ext uri="{FF2B5EF4-FFF2-40B4-BE49-F238E27FC236}">
                  <a16:creationId xmlns:a16="http://schemas.microsoft.com/office/drawing/2014/main" id="{F451989D-F96D-4B12-AD9B-ACAD838E184F}"/>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0856638" y="773590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45358</xdr:colOff>
      <xdr:row>2</xdr:row>
      <xdr:rowOff>86337</xdr:rowOff>
    </xdr:from>
    <xdr:to>
      <xdr:col>33</xdr:col>
      <xdr:colOff>15876</xdr:colOff>
      <xdr:row>53</xdr:row>
      <xdr:rowOff>75575</xdr:rowOff>
    </xdr:to>
    <xdr:sp macro="" textlink="">
      <xdr:nvSpPr>
        <xdr:cNvPr id="2" name="Rectangle: Rounded Corners 1">
          <a:extLst>
            <a:ext uri="{FF2B5EF4-FFF2-40B4-BE49-F238E27FC236}">
              <a16:creationId xmlns:a16="http://schemas.microsoft.com/office/drawing/2014/main" id="{B7D43594-7247-3339-FF9A-7E7FD785F140}"/>
            </a:ext>
          </a:extLst>
        </xdr:cNvPr>
        <xdr:cNvSpPr/>
      </xdr:nvSpPr>
      <xdr:spPr>
        <a:xfrm>
          <a:off x="648608" y="467337"/>
          <a:ext cx="17845768" cy="9799988"/>
        </a:xfrm>
        <a:prstGeom prst="roundRect">
          <a:avLst>
            <a:gd name="adj" fmla="val 601"/>
          </a:avLst>
        </a:prstGeom>
        <a:noFill/>
        <a:ln w="117475" cap="sq" cmpd="tri">
          <a:solidFill>
            <a:schemeClr val="tx2">
              <a:lumMod val="10000"/>
              <a:lumOff val="90000"/>
            </a:schemeClr>
          </a:solidFill>
          <a:extLst>
            <a:ext uri="{C807C97D-BFC1-408E-A445-0C87EB9F89A2}">
              <ask:lineSketchStyleProps xmlns:ask="http://schemas.microsoft.com/office/drawing/2018/sketchyshapes" sd="1219033472">
                <a:custGeom>
                  <a:avLst/>
                  <a:gdLst>
                    <a:gd name="csX0" fmla="*/ 0 w 16457083"/>
                    <a:gd name="csY0" fmla="*/ 52316 h 8704792"/>
                    <a:gd name="csX1" fmla="*/ 52316 w 16457083"/>
                    <a:gd name="csY1" fmla="*/ 0 h 8704792"/>
                    <a:gd name="csX2" fmla="*/ 1060717 w 16457083"/>
                    <a:gd name="csY2" fmla="*/ 0 h 8704792"/>
                    <a:gd name="csX3" fmla="*/ 1578545 w 16457083"/>
                    <a:gd name="csY3" fmla="*/ 0 h 8704792"/>
                    <a:gd name="csX4" fmla="*/ 1932848 w 16457083"/>
                    <a:gd name="csY4" fmla="*/ 0 h 8704792"/>
                    <a:gd name="csX5" fmla="*/ 2777724 w 16457083"/>
                    <a:gd name="csY5" fmla="*/ 0 h 8704792"/>
                    <a:gd name="csX6" fmla="*/ 3295552 w 16457083"/>
                    <a:gd name="csY6" fmla="*/ 0 h 8704792"/>
                    <a:gd name="csX7" fmla="*/ 4303953 w 16457083"/>
                    <a:gd name="csY7" fmla="*/ 0 h 8704792"/>
                    <a:gd name="csX8" fmla="*/ 4658256 w 16457083"/>
                    <a:gd name="csY8" fmla="*/ 0 h 8704792"/>
                    <a:gd name="csX9" fmla="*/ 5666658 w 16457083"/>
                    <a:gd name="csY9" fmla="*/ 0 h 8704792"/>
                    <a:gd name="csX10" fmla="*/ 5857436 w 16457083"/>
                    <a:gd name="csY10" fmla="*/ 0 h 8704792"/>
                    <a:gd name="csX11" fmla="*/ 6538788 w 16457083"/>
                    <a:gd name="csY11" fmla="*/ 0 h 8704792"/>
                    <a:gd name="csX12" fmla="*/ 7220140 w 16457083"/>
                    <a:gd name="csY12" fmla="*/ 0 h 8704792"/>
                    <a:gd name="csX13" fmla="*/ 7737968 w 16457083"/>
                    <a:gd name="csY13" fmla="*/ 0 h 8704792"/>
                    <a:gd name="csX14" fmla="*/ 8746369 w 16457083"/>
                    <a:gd name="csY14" fmla="*/ 0 h 8704792"/>
                    <a:gd name="csX15" fmla="*/ 9754770 w 16457083"/>
                    <a:gd name="csY15" fmla="*/ 0 h 8704792"/>
                    <a:gd name="csX16" fmla="*/ 10109073 w 16457083"/>
                    <a:gd name="csY16" fmla="*/ 0 h 8704792"/>
                    <a:gd name="csX17" fmla="*/ 10790425 w 16457083"/>
                    <a:gd name="csY17" fmla="*/ 0 h 8704792"/>
                    <a:gd name="csX18" fmla="*/ 11798827 w 16457083"/>
                    <a:gd name="csY18" fmla="*/ 0 h 8704792"/>
                    <a:gd name="csX19" fmla="*/ 12480179 w 16457083"/>
                    <a:gd name="csY19" fmla="*/ 0 h 8704792"/>
                    <a:gd name="csX20" fmla="*/ 12670957 w 16457083"/>
                    <a:gd name="csY20" fmla="*/ 0 h 8704792"/>
                    <a:gd name="csX21" fmla="*/ 13025260 w 16457083"/>
                    <a:gd name="csY21" fmla="*/ 0 h 8704792"/>
                    <a:gd name="csX22" fmla="*/ 14033662 w 16457083"/>
                    <a:gd name="csY22" fmla="*/ 0 h 8704792"/>
                    <a:gd name="csX23" fmla="*/ 14715014 w 16457083"/>
                    <a:gd name="csY23" fmla="*/ 0 h 8704792"/>
                    <a:gd name="csX24" fmla="*/ 15069317 w 16457083"/>
                    <a:gd name="csY24" fmla="*/ 0 h 8704792"/>
                    <a:gd name="csX25" fmla="*/ 15750669 w 16457083"/>
                    <a:gd name="csY25" fmla="*/ 0 h 8704792"/>
                    <a:gd name="csX26" fmla="*/ 16404767 w 16457083"/>
                    <a:gd name="csY26" fmla="*/ 0 h 8704792"/>
                    <a:gd name="csX27" fmla="*/ 16457083 w 16457083"/>
                    <a:gd name="csY27" fmla="*/ 52316 h 8704792"/>
                    <a:gd name="csX28" fmla="*/ 16457083 w 16457083"/>
                    <a:gd name="csY28" fmla="*/ 885870 h 8704792"/>
                    <a:gd name="csX29" fmla="*/ 16457083 w 16457083"/>
                    <a:gd name="csY29" fmla="*/ 1633422 h 8704792"/>
                    <a:gd name="csX30" fmla="*/ 16457083 w 16457083"/>
                    <a:gd name="csY30" fmla="*/ 2122970 h 8704792"/>
                    <a:gd name="csX31" fmla="*/ 16457083 w 16457083"/>
                    <a:gd name="csY31" fmla="*/ 2870522 h 8704792"/>
                    <a:gd name="csX32" fmla="*/ 16457083 w 16457083"/>
                    <a:gd name="csY32" fmla="*/ 3274068 h 8704792"/>
                    <a:gd name="csX33" fmla="*/ 16457083 w 16457083"/>
                    <a:gd name="csY33" fmla="*/ 4021621 h 8704792"/>
                    <a:gd name="csX34" fmla="*/ 16457083 w 16457083"/>
                    <a:gd name="csY34" fmla="*/ 4511168 h 8704792"/>
                    <a:gd name="csX35" fmla="*/ 16457083 w 16457083"/>
                    <a:gd name="csY35" fmla="*/ 4914714 h 8704792"/>
                    <a:gd name="csX36" fmla="*/ 16457083 w 16457083"/>
                    <a:gd name="csY36" fmla="*/ 5404262 h 8704792"/>
                    <a:gd name="csX37" fmla="*/ 16457083 w 16457083"/>
                    <a:gd name="csY37" fmla="*/ 6151814 h 8704792"/>
                    <a:gd name="csX38" fmla="*/ 16457083 w 16457083"/>
                    <a:gd name="csY38" fmla="*/ 6641362 h 8704792"/>
                    <a:gd name="csX39" fmla="*/ 16457083 w 16457083"/>
                    <a:gd name="csY39" fmla="*/ 7044908 h 8704792"/>
                    <a:gd name="csX40" fmla="*/ 16457083 w 16457083"/>
                    <a:gd name="csY40" fmla="*/ 7534455 h 8704792"/>
                    <a:gd name="csX41" fmla="*/ 16457083 w 16457083"/>
                    <a:gd name="csY41" fmla="*/ 8652476 h 8704792"/>
                    <a:gd name="csX42" fmla="*/ 16404767 w 16457083"/>
                    <a:gd name="csY42" fmla="*/ 8704792 h 8704792"/>
                    <a:gd name="csX43" fmla="*/ 16213988 w 16457083"/>
                    <a:gd name="csY43" fmla="*/ 8704792 h 8704792"/>
                    <a:gd name="csX44" fmla="*/ 15532636 w 16457083"/>
                    <a:gd name="csY44" fmla="*/ 8704792 h 8704792"/>
                    <a:gd name="csX45" fmla="*/ 14524235 w 16457083"/>
                    <a:gd name="csY45" fmla="*/ 8704792 h 8704792"/>
                    <a:gd name="csX46" fmla="*/ 13679359 w 16457083"/>
                    <a:gd name="csY46" fmla="*/ 8704792 h 8704792"/>
                    <a:gd name="csX47" fmla="*/ 13161531 w 16457083"/>
                    <a:gd name="csY47" fmla="*/ 8704792 h 8704792"/>
                    <a:gd name="csX48" fmla="*/ 12316654 w 16457083"/>
                    <a:gd name="csY48" fmla="*/ 8704792 h 8704792"/>
                    <a:gd name="csX49" fmla="*/ 11962351 w 16457083"/>
                    <a:gd name="csY49" fmla="*/ 8704792 h 8704792"/>
                    <a:gd name="csX50" fmla="*/ 11280999 w 16457083"/>
                    <a:gd name="csY50" fmla="*/ 8704792 h 8704792"/>
                    <a:gd name="csX51" fmla="*/ 11090220 w 16457083"/>
                    <a:gd name="csY51" fmla="*/ 8704792 h 8704792"/>
                    <a:gd name="csX52" fmla="*/ 10081819 w 16457083"/>
                    <a:gd name="csY52" fmla="*/ 8704792 h 8704792"/>
                    <a:gd name="csX53" fmla="*/ 9400467 w 16457083"/>
                    <a:gd name="csY53" fmla="*/ 8704792 h 8704792"/>
                    <a:gd name="csX54" fmla="*/ 8392066 w 16457083"/>
                    <a:gd name="csY54" fmla="*/ 8704792 h 8704792"/>
                    <a:gd name="csX55" fmla="*/ 7874238 w 16457083"/>
                    <a:gd name="csY55" fmla="*/ 8704792 h 8704792"/>
                    <a:gd name="csX56" fmla="*/ 7519935 w 16457083"/>
                    <a:gd name="csY56" fmla="*/ 8704792 h 8704792"/>
                    <a:gd name="csX57" fmla="*/ 6838583 w 16457083"/>
                    <a:gd name="csY57" fmla="*/ 8704792 h 8704792"/>
                    <a:gd name="csX58" fmla="*/ 5993707 w 16457083"/>
                    <a:gd name="csY58" fmla="*/ 8704792 h 8704792"/>
                    <a:gd name="csX59" fmla="*/ 4985305 w 16457083"/>
                    <a:gd name="csY59" fmla="*/ 8704792 h 8704792"/>
                    <a:gd name="csX60" fmla="*/ 4140429 w 16457083"/>
                    <a:gd name="csY60" fmla="*/ 8704792 h 8704792"/>
                    <a:gd name="csX61" fmla="*/ 3132028 w 16457083"/>
                    <a:gd name="csY61" fmla="*/ 8704792 h 8704792"/>
                    <a:gd name="csX62" fmla="*/ 2287151 w 16457083"/>
                    <a:gd name="csY62" fmla="*/ 8704792 h 8704792"/>
                    <a:gd name="csX63" fmla="*/ 1932848 w 16457083"/>
                    <a:gd name="csY63" fmla="*/ 8704792 h 8704792"/>
                    <a:gd name="csX64" fmla="*/ 1087971 w 16457083"/>
                    <a:gd name="csY64" fmla="*/ 8704792 h 8704792"/>
                    <a:gd name="csX65" fmla="*/ 52316 w 16457083"/>
                    <a:gd name="csY65" fmla="*/ 8704792 h 8704792"/>
                    <a:gd name="csX66" fmla="*/ 0 w 16457083"/>
                    <a:gd name="csY66" fmla="*/ 8652476 h 8704792"/>
                    <a:gd name="csX67" fmla="*/ 0 w 16457083"/>
                    <a:gd name="csY67" fmla="*/ 8076927 h 8704792"/>
                    <a:gd name="csX68" fmla="*/ 0 w 16457083"/>
                    <a:gd name="csY68" fmla="*/ 7587379 h 8704792"/>
                    <a:gd name="csX69" fmla="*/ 0 w 16457083"/>
                    <a:gd name="csY69" fmla="*/ 6925828 h 8704792"/>
                    <a:gd name="csX70" fmla="*/ 0 w 16457083"/>
                    <a:gd name="csY70" fmla="*/ 6264278 h 8704792"/>
                    <a:gd name="csX71" fmla="*/ 0 w 16457083"/>
                    <a:gd name="csY71" fmla="*/ 5688729 h 8704792"/>
                    <a:gd name="csX72" fmla="*/ 0 w 16457083"/>
                    <a:gd name="csY72" fmla="*/ 4855175 h 8704792"/>
                    <a:gd name="csX73" fmla="*/ 0 w 16457083"/>
                    <a:gd name="csY73" fmla="*/ 4365627 h 8704792"/>
                    <a:gd name="csX74" fmla="*/ 0 w 16457083"/>
                    <a:gd name="csY74" fmla="*/ 3532073 h 8704792"/>
                    <a:gd name="csX75" fmla="*/ 0 w 16457083"/>
                    <a:gd name="csY75" fmla="*/ 3042525 h 8704792"/>
                    <a:gd name="csX76" fmla="*/ 0 w 16457083"/>
                    <a:gd name="csY76" fmla="*/ 2294973 h 8704792"/>
                    <a:gd name="csX77" fmla="*/ 0 w 16457083"/>
                    <a:gd name="csY77" fmla="*/ 1461419 h 8704792"/>
                    <a:gd name="csX78" fmla="*/ 0 w 16457083"/>
                    <a:gd name="csY78" fmla="*/ 1057873 h 8704792"/>
                    <a:gd name="csX79" fmla="*/ 0 w 16457083"/>
                    <a:gd name="csY79" fmla="*/ 52316 h 8704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Lst>
                  <a:rect l="l" t="t" r="r" b="b"/>
                  <a:pathLst>
                    <a:path w="16457083" h="8704792" extrusionOk="0">
                      <a:moveTo>
                        <a:pt x="0" y="52316"/>
                      </a:moveTo>
                      <a:cubicBezTo>
                        <a:pt x="-4420" y="20697"/>
                        <a:pt x="16816" y="2480"/>
                        <a:pt x="52316" y="0"/>
                      </a:cubicBezTo>
                      <a:cubicBezTo>
                        <a:pt x="497583" y="47509"/>
                        <a:pt x="601958" y="49470"/>
                        <a:pt x="1060717" y="0"/>
                      </a:cubicBezTo>
                      <a:cubicBezTo>
                        <a:pt x="1519476" y="-49470"/>
                        <a:pt x="1429614" y="-9705"/>
                        <a:pt x="1578545" y="0"/>
                      </a:cubicBezTo>
                      <a:cubicBezTo>
                        <a:pt x="1727476" y="9705"/>
                        <a:pt x="1816320" y="4681"/>
                        <a:pt x="1932848" y="0"/>
                      </a:cubicBezTo>
                      <a:cubicBezTo>
                        <a:pt x="2049376" y="-4681"/>
                        <a:pt x="2608250" y="13663"/>
                        <a:pt x="2777724" y="0"/>
                      </a:cubicBezTo>
                      <a:cubicBezTo>
                        <a:pt x="2947198" y="-13663"/>
                        <a:pt x="3187735" y="20663"/>
                        <a:pt x="3295552" y="0"/>
                      </a:cubicBezTo>
                      <a:cubicBezTo>
                        <a:pt x="3403369" y="-20663"/>
                        <a:pt x="3808828" y="-35950"/>
                        <a:pt x="4303953" y="0"/>
                      </a:cubicBezTo>
                      <a:cubicBezTo>
                        <a:pt x="4799078" y="35950"/>
                        <a:pt x="4557171" y="-14994"/>
                        <a:pt x="4658256" y="0"/>
                      </a:cubicBezTo>
                      <a:cubicBezTo>
                        <a:pt x="4759341" y="14994"/>
                        <a:pt x="5319396" y="-33096"/>
                        <a:pt x="5666658" y="0"/>
                      </a:cubicBezTo>
                      <a:cubicBezTo>
                        <a:pt x="6013920" y="33096"/>
                        <a:pt x="5801202" y="-6498"/>
                        <a:pt x="5857436" y="0"/>
                      </a:cubicBezTo>
                      <a:cubicBezTo>
                        <a:pt x="5913670" y="6498"/>
                        <a:pt x="6233947" y="-27966"/>
                        <a:pt x="6538788" y="0"/>
                      </a:cubicBezTo>
                      <a:cubicBezTo>
                        <a:pt x="6843629" y="27966"/>
                        <a:pt x="7011422" y="4054"/>
                        <a:pt x="7220140" y="0"/>
                      </a:cubicBezTo>
                      <a:cubicBezTo>
                        <a:pt x="7428858" y="-4054"/>
                        <a:pt x="7564843" y="10182"/>
                        <a:pt x="7737968" y="0"/>
                      </a:cubicBezTo>
                      <a:cubicBezTo>
                        <a:pt x="7911093" y="-10182"/>
                        <a:pt x="8253855" y="47256"/>
                        <a:pt x="8746369" y="0"/>
                      </a:cubicBezTo>
                      <a:cubicBezTo>
                        <a:pt x="9238883" y="-47256"/>
                        <a:pt x="9444958" y="3966"/>
                        <a:pt x="9754770" y="0"/>
                      </a:cubicBezTo>
                      <a:cubicBezTo>
                        <a:pt x="10064582" y="-3966"/>
                        <a:pt x="9984206" y="10351"/>
                        <a:pt x="10109073" y="0"/>
                      </a:cubicBezTo>
                      <a:cubicBezTo>
                        <a:pt x="10233940" y="-10351"/>
                        <a:pt x="10580284" y="3892"/>
                        <a:pt x="10790425" y="0"/>
                      </a:cubicBezTo>
                      <a:cubicBezTo>
                        <a:pt x="11000566" y="-3892"/>
                        <a:pt x="11345017" y="-26205"/>
                        <a:pt x="11798827" y="0"/>
                      </a:cubicBezTo>
                      <a:cubicBezTo>
                        <a:pt x="12252637" y="26205"/>
                        <a:pt x="12165134" y="19328"/>
                        <a:pt x="12480179" y="0"/>
                      </a:cubicBezTo>
                      <a:cubicBezTo>
                        <a:pt x="12795224" y="-19328"/>
                        <a:pt x="12579256" y="6359"/>
                        <a:pt x="12670957" y="0"/>
                      </a:cubicBezTo>
                      <a:cubicBezTo>
                        <a:pt x="12762658" y="-6359"/>
                        <a:pt x="12922884" y="-12512"/>
                        <a:pt x="13025260" y="0"/>
                      </a:cubicBezTo>
                      <a:cubicBezTo>
                        <a:pt x="13127636" y="12512"/>
                        <a:pt x="13814950" y="24222"/>
                        <a:pt x="14033662" y="0"/>
                      </a:cubicBezTo>
                      <a:cubicBezTo>
                        <a:pt x="14252374" y="-24222"/>
                        <a:pt x="14476807" y="9643"/>
                        <a:pt x="14715014" y="0"/>
                      </a:cubicBezTo>
                      <a:cubicBezTo>
                        <a:pt x="14953221" y="-9643"/>
                        <a:pt x="14970677" y="10451"/>
                        <a:pt x="15069317" y="0"/>
                      </a:cubicBezTo>
                      <a:cubicBezTo>
                        <a:pt x="15167957" y="-10451"/>
                        <a:pt x="15440819" y="13972"/>
                        <a:pt x="15750669" y="0"/>
                      </a:cubicBezTo>
                      <a:cubicBezTo>
                        <a:pt x="16060519" y="-13972"/>
                        <a:pt x="16206374" y="-31577"/>
                        <a:pt x="16404767" y="0"/>
                      </a:cubicBezTo>
                      <a:cubicBezTo>
                        <a:pt x="16434605" y="-2908"/>
                        <a:pt x="16457898" y="24305"/>
                        <a:pt x="16457083" y="52316"/>
                      </a:cubicBezTo>
                      <a:cubicBezTo>
                        <a:pt x="16447221" y="355801"/>
                        <a:pt x="16470011" y="551137"/>
                        <a:pt x="16457083" y="885870"/>
                      </a:cubicBezTo>
                      <a:cubicBezTo>
                        <a:pt x="16444155" y="1220603"/>
                        <a:pt x="16451052" y="1431943"/>
                        <a:pt x="16457083" y="1633422"/>
                      </a:cubicBezTo>
                      <a:cubicBezTo>
                        <a:pt x="16463114" y="1834901"/>
                        <a:pt x="16454649" y="1999340"/>
                        <a:pt x="16457083" y="2122970"/>
                      </a:cubicBezTo>
                      <a:cubicBezTo>
                        <a:pt x="16459517" y="2246600"/>
                        <a:pt x="16474424" y="2659028"/>
                        <a:pt x="16457083" y="2870522"/>
                      </a:cubicBezTo>
                      <a:cubicBezTo>
                        <a:pt x="16439742" y="3082016"/>
                        <a:pt x="16476452" y="3088396"/>
                        <a:pt x="16457083" y="3274068"/>
                      </a:cubicBezTo>
                      <a:cubicBezTo>
                        <a:pt x="16437714" y="3459740"/>
                        <a:pt x="16482552" y="3781328"/>
                        <a:pt x="16457083" y="4021621"/>
                      </a:cubicBezTo>
                      <a:cubicBezTo>
                        <a:pt x="16431614" y="4261914"/>
                        <a:pt x="16439474" y="4314968"/>
                        <a:pt x="16457083" y="4511168"/>
                      </a:cubicBezTo>
                      <a:cubicBezTo>
                        <a:pt x="16474692" y="4707368"/>
                        <a:pt x="16475951" y="4817560"/>
                        <a:pt x="16457083" y="4914714"/>
                      </a:cubicBezTo>
                      <a:cubicBezTo>
                        <a:pt x="16438215" y="5011868"/>
                        <a:pt x="16461679" y="5282691"/>
                        <a:pt x="16457083" y="5404262"/>
                      </a:cubicBezTo>
                      <a:cubicBezTo>
                        <a:pt x="16452487" y="5525833"/>
                        <a:pt x="16441341" y="5813797"/>
                        <a:pt x="16457083" y="6151814"/>
                      </a:cubicBezTo>
                      <a:cubicBezTo>
                        <a:pt x="16472825" y="6489831"/>
                        <a:pt x="16457719" y="6468053"/>
                        <a:pt x="16457083" y="6641362"/>
                      </a:cubicBezTo>
                      <a:cubicBezTo>
                        <a:pt x="16456447" y="6814671"/>
                        <a:pt x="16463028" y="6942905"/>
                        <a:pt x="16457083" y="7044908"/>
                      </a:cubicBezTo>
                      <a:cubicBezTo>
                        <a:pt x="16451138" y="7146911"/>
                        <a:pt x="16443988" y="7407874"/>
                        <a:pt x="16457083" y="7534455"/>
                      </a:cubicBezTo>
                      <a:cubicBezTo>
                        <a:pt x="16470178" y="7661036"/>
                        <a:pt x="16482316" y="8181613"/>
                        <a:pt x="16457083" y="8652476"/>
                      </a:cubicBezTo>
                      <a:cubicBezTo>
                        <a:pt x="16454752" y="8681648"/>
                        <a:pt x="16438269" y="8709633"/>
                        <a:pt x="16404767" y="8704792"/>
                      </a:cubicBezTo>
                      <a:cubicBezTo>
                        <a:pt x="16354089" y="8699226"/>
                        <a:pt x="16257354" y="8704896"/>
                        <a:pt x="16213988" y="8704792"/>
                      </a:cubicBezTo>
                      <a:cubicBezTo>
                        <a:pt x="16170622" y="8704688"/>
                        <a:pt x="15689798" y="8681173"/>
                        <a:pt x="15532636" y="8704792"/>
                      </a:cubicBezTo>
                      <a:cubicBezTo>
                        <a:pt x="15375474" y="8728411"/>
                        <a:pt x="14930557" y="8684008"/>
                        <a:pt x="14524235" y="8704792"/>
                      </a:cubicBezTo>
                      <a:cubicBezTo>
                        <a:pt x="14117913" y="8725576"/>
                        <a:pt x="13902887" y="8680059"/>
                        <a:pt x="13679359" y="8704792"/>
                      </a:cubicBezTo>
                      <a:cubicBezTo>
                        <a:pt x="13455831" y="8729525"/>
                        <a:pt x="13345616" y="8697505"/>
                        <a:pt x="13161531" y="8704792"/>
                      </a:cubicBezTo>
                      <a:cubicBezTo>
                        <a:pt x="12977446" y="8712079"/>
                        <a:pt x="12580144" y="8685001"/>
                        <a:pt x="12316654" y="8704792"/>
                      </a:cubicBezTo>
                      <a:cubicBezTo>
                        <a:pt x="12053164" y="8724583"/>
                        <a:pt x="12135205" y="8690270"/>
                        <a:pt x="11962351" y="8704792"/>
                      </a:cubicBezTo>
                      <a:cubicBezTo>
                        <a:pt x="11789497" y="8719314"/>
                        <a:pt x="11505489" y="8707849"/>
                        <a:pt x="11280999" y="8704792"/>
                      </a:cubicBezTo>
                      <a:cubicBezTo>
                        <a:pt x="11056509" y="8701735"/>
                        <a:pt x="11158295" y="8703596"/>
                        <a:pt x="11090220" y="8704792"/>
                      </a:cubicBezTo>
                      <a:cubicBezTo>
                        <a:pt x="11022145" y="8705988"/>
                        <a:pt x="10536812" y="8682659"/>
                        <a:pt x="10081819" y="8704792"/>
                      </a:cubicBezTo>
                      <a:cubicBezTo>
                        <a:pt x="9626826" y="8726925"/>
                        <a:pt x="9542704" y="8728540"/>
                        <a:pt x="9400467" y="8704792"/>
                      </a:cubicBezTo>
                      <a:cubicBezTo>
                        <a:pt x="9258230" y="8681044"/>
                        <a:pt x="8646855" y="8713485"/>
                        <a:pt x="8392066" y="8704792"/>
                      </a:cubicBezTo>
                      <a:cubicBezTo>
                        <a:pt x="8137277" y="8696099"/>
                        <a:pt x="8098264" y="8716532"/>
                        <a:pt x="7874238" y="8704792"/>
                      </a:cubicBezTo>
                      <a:cubicBezTo>
                        <a:pt x="7650212" y="8693052"/>
                        <a:pt x="7677320" y="8703545"/>
                        <a:pt x="7519935" y="8704792"/>
                      </a:cubicBezTo>
                      <a:cubicBezTo>
                        <a:pt x="7362550" y="8706039"/>
                        <a:pt x="6999355" y="8699709"/>
                        <a:pt x="6838583" y="8704792"/>
                      </a:cubicBezTo>
                      <a:cubicBezTo>
                        <a:pt x="6677811" y="8709875"/>
                        <a:pt x="6356945" y="8674701"/>
                        <a:pt x="5993707" y="8704792"/>
                      </a:cubicBezTo>
                      <a:cubicBezTo>
                        <a:pt x="5630469" y="8734883"/>
                        <a:pt x="5351513" y="8724096"/>
                        <a:pt x="4985305" y="8704792"/>
                      </a:cubicBezTo>
                      <a:cubicBezTo>
                        <a:pt x="4619097" y="8685488"/>
                        <a:pt x="4550012" y="8743038"/>
                        <a:pt x="4140429" y="8704792"/>
                      </a:cubicBezTo>
                      <a:cubicBezTo>
                        <a:pt x="3730846" y="8666546"/>
                        <a:pt x="3421557" y="8705083"/>
                        <a:pt x="3132028" y="8704792"/>
                      </a:cubicBezTo>
                      <a:cubicBezTo>
                        <a:pt x="2842499" y="8704501"/>
                        <a:pt x="2492991" y="8717430"/>
                        <a:pt x="2287151" y="8704792"/>
                      </a:cubicBezTo>
                      <a:cubicBezTo>
                        <a:pt x="2081311" y="8692154"/>
                        <a:pt x="2047044" y="8701031"/>
                        <a:pt x="1932848" y="8704792"/>
                      </a:cubicBezTo>
                      <a:cubicBezTo>
                        <a:pt x="1818652" y="8708553"/>
                        <a:pt x="1492428" y="8713686"/>
                        <a:pt x="1087971" y="8704792"/>
                      </a:cubicBezTo>
                      <a:cubicBezTo>
                        <a:pt x="683514" y="8695898"/>
                        <a:pt x="299766" y="8731174"/>
                        <a:pt x="52316" y="8704792"/>
                      </a:cubicBezTo>
                      <a:cubicBezTo>
                        <a:pt x="20672" y="8705453"/>
                        <a:pt x="1859" y="8686467"/>
                        <a:pt x="0" y="8652476"/>
                      </a:cubicBezTo>
                      <a:cubicBezTo>
                        <a:pt x="-21272" y="8471737"/>
                        <a:pt x="4802" y="8236963"/>
                        <a:pt x="0" y="8076927"/>
                      </a:cubicBezTo>
                      <a:cubicBezTo>
                        <a:pt x="-4802" y="7916891"/>
                        <a:pt x="-9285" y="7769660"/>
                        <a:pt x="0" y="7587379"/>
                      </a:cubicBezTo>
                      <a:cubicBezTo>
                        <a:pt x="9285" y="7405098"/>
                        <a:pt x="19886" y="7077412"/>
                        <a:pt x="0" y="6925828"/>
                      </a:cubicBezTo>
                      <a:cubicBezTo>
                        <a:pt x="-19886" y="6774244"/>
                        <a:pt x="-1902" y="6480490"/>
                        <a:pt x="0" y="6264278"/>
                      </a:cubicBezTo>
                      <a:cubicBezTo>
                        <a:pt x="1902" y="6048066"/>
                        <a:pt x="886" y="5883584"/>
                        <a:pt x="0" y="5688729"/>
                      </a:cubicBezTo>
                      <a:cubicBezTo>
                        <a:pt x="-886" y="5493874"/>
                        <a:pt x="-36433" y="5185309"/>
                        <a:pt x="0" y="4855175"/>
                      </a:cubicBezTo>
                      <a:cubicBezTo>
                        <a:pt x="36433" y="4525041"/>
                        <a:pt x="7741" y="4540264"/>
                        <a:pt x="0" y="4365627"/>
                      </a:cubicBezTo>
                      <a:cubicBezTo>
                        <a:pt x="-7741" y="4190990"/>
                        <a:pt x="20520" y="3777024"/>
                        <a:pt x="0" y="3532073"/>
                      </a:cubicBezTo>
                      <a:cubicBezTo>
                        <a:pt x="-20520" y="3287122"/>
                        <a:pt x="-11897" y="3187894"/>
                        <a:pt x="0" y="3042525"/>
                      </a:cubicBezTo>
                      <a:cubicBezTo>
                        <a:pt x="11897" y="2897156"/>
                        <a:pt x="-36472" y="2643866"/>
                        <a:pt x="0" y="2294973"/>
                      </a:cubicBezTo>
                      <a:cubicBezTo>
                        <a:pt x="36472" y="1946080"/>
                        <a:pt x="-33363" y="1725931"/>
                        <a:pt x="0" y="1461419"/>
                      </a:cubicBezTo>
                      <a:cubicBezTo>
                        <a:pt x="33363" y="1196907"/>
                        <a:pt x="11260" y="1204751"/>
                        <a:pt x="0" y="1057873"/>
                      </a:cubicBezTo>
                      <a:cubicBezTo>
                        <a:pt x="-11260" y="910995"/>
                        <a:pt x="48722" y="394113"/>
                        <a:pt x="0" y="52316"/>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4</xdr:row>
      <xdr:rowOff>9206</xdr:rowOff>
    </xdr:from>
    <xdr:to>
      <xdr:col>25</xdr:col>
      <xdr:colOff>13230</xdr:colOff>
      <xdr:row>6</xdr:row>
      <xdr:rowOff>185208</xdr:rowOff>
    </xdr:to>
    <xdr:sp macro="" textlink="">
      <xdr:nvSpPr>
        <xdr:cNvPr id="3" name="Rectangle: Rounded Corners 2">
          <a:extLst>
            <a:ext uri="{FF2B5EF4-FFF2-40B4-BE49-F238E27FC236}">
              <a16:creationId xmlns:a16="http://schemas.microsoft.com/office/drawing/2014/main" id="{691C1201-2A18-A5EE-D9B4-B8A0384F45B1}"/>
            </a:ext>
          </a:extLst>
        </xdr:cNvPr>
        <xdr:cNvSpPr/>
      </xdr:nvSpPr>
      <xdr:spPr>
        <a:xfrm>
          <a:off x="6654271" y="750039"/>
          <a:ext cx="7117292" cy="546419"/>
        </a:xfrm>
        <a:prstGeom prst="roundRect">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lt1"/>
              </a:solidFill>
              <a:latin typeface="Consolas" panose="020B0609020204030204" pitchFamily="49" charset="0"/>
              <a:ea typeface="+mn-ea"/>
              <a:cs typeface="+mn-cs"/>
            </a:rPr>
            <a:t>D-LITE</a:t>
          </a:r>
          <a:r>
            <a:rPr lang="en-US" sz="2000" b="1" baseline="0">
              <a:solidFill>
                <a:schemeClr val="lt1"/>
              </a:solidFill>
              <a:latin typeface="Consolas" panose="020B0609020204030204" pitchFamily="49" charset="0"/>
              <a:ea typeface="+mn-ea"/>
              <a:cs typeface="+mn-cs"/>
            </a:rPr>
            <a:t> ELECTRONICS LTD </a:t>
          </a:r>
          <a:r>
            <a:rPr lang="en-US" sz="2000" b="1">
              <a:solidFill>
                <a:schemeClr val="lt1"/>
              </a:solidFill>
              <a:latin typeface="Consolas" panose="020B0609020204030204" pitchFamily="49" charset="0"/>
              <a:ea typeface="+mn-ea"/>
              <a:cs typeface="+mn-cs"/>
            </a:rPr>
            <a:t>PERFORMANNCE DASHBOARD</a:t>
          </a:r>
        </a:p>
      </xdr:txBody>
    </xdr:sp>
    <xdr:clientData/>
  </xdr:twoCellAnchor>
  <xdr:twoCellAnchor>
    <xdr:from>
      <xdr:col>10</xdr:col>
      <xdr:colOff>643582</xdr:colOff>
      <xdr:row>6</xdr:row>
      <xdr:rowOff>274596</xdr:rowOff>
    </xdr:from>
    <xdr:to>
      <xdr:col>13</xdr:col>
      <xdr:colOff>2</xdr:colOff>
      <xdr:row>10</xdr:row>
      <xdr:rowOff>1</xdr:rowOff>
    </xdr:to>
    <xdr:sp macro="" textlink="">
      <xdr:nvSpPr>
        <xdr:cNvPr id="6" name="Rectangle: Rounded Corners 5" descr="ndnnf">
          <a:extLst>
            <a:ext uri="{FF2B5EF4-FFF2-40B4-BE49-F238E27FC236}">
              <a16:creationId xmlns:a16="http://schemas.microsoft.com/office/drawing/2014/main" id="{0EED623C-4D12-742F-552C-C1A5800F3D07}"/>
            </a:ext>
          </a:extLst>
        </xdr:cNvPr>
        <xdr:cNvSpPr/>
      </xdr:nvSpPr>
      <xdr:spPr>
        <a:xfrm>
          <a:off x="6736150" y="1355812"/>
          <a:ext cx="1372974" cy="557770"/>
        </a:xfrm>
        <a:prstGeom prst="roundRect">
          <a:avLst>
            <a:gd name="adj" fmla="val 14325"/>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58055</xdr:colOff>
      <xdr:row>6</xdr:row>
      <xdr:rowOff>291756</xdr:rowOff>
    </xdr:from>
    <xdr:to>
      <xdr:col>16</xdr:col>
      <xdr:colOff>598224</xdr:colOff>
      <xdr:row>10</xdr:row>
      <xdr:rowOff>17162</xdr:rowOff>
    </xdr:to>
    <xdr:sp macro="" textlink="">
      <xdr:nvSpPr>
        <xdr:cNvPr id="9" name="Rectangle: Rounded Corners 8" descr="ndnnf">
          <a:extLst>
            <a:ext uri="{FF2B5EF4-FFF2-40B4-BE49-F238E27FC236}">
              <a16:creationId xmlns:a16="http://schemas.microsoft.com/office/drawing/2014/main" id="{F0E133A9-8AB4-1AEF-65AF-FE4E03675B87}"/>
            </a:ext>
          </a:extLst>
        </xdr:cNvPr>
        <xdr:cNvSpPr/>
      </xdr:nvSpPr>
      <xdr:spPr>
        <a:xfrm>
          <a:off x="8167177" y="1372972"/>
          <a:ext cx="1818750" cy="557771"/>
        </a:xfrm>
        <a:prstGeom prst="roundRect">
          <a:avLst>
            <a:gd name="adj" fmla="val 8730"/>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44270</xdr:colOff>
      <xdr:row>6</xdr:row>
      <xdr:rowOff>272143</xdr:rowOff>
    </xdr:from>
    <xdr:to>
      <xdr:col>21</xdr:col>
      <xdr:colOff>15119</xdr:colOff>
      <xdr:row>10</xdr:row>
      <xdr:rowOff>15119</xdr:rowOff>
    </xdr:to>
    <xdr:sp macro="" textlink="">
      <xdr:nvSpPr>
        <xdr:cNvPr id="10" name="Rectangle: Rounded Corners 9" descr="ndnnf">
          <a:extLst>
            <a:ext uri="{FF2B5EF4-FFF2-40B4-BE49-F238E27FC236}">
              <a16:creationId xmlns:a16="http://schemas.microsoft.com/office/drawing/2014/main" id="{1E1815A0-2A61-D3C5-CA24-DF0DFC4687C7}"/>
            </a:ext>
          </a:extLst>
        </xdr:cNvPr>
        <xdr:cNvSpPr/>
      </xdr:nvSpPr>
      <xdr:spPr>
        <a:xfrm>
          <a:off x="10041229" y="1353359"/>
          <a:ext cx="1850106" cy="575341"/>
        </a:xfrm>
        <a:prstGeom prst="roundRect">
          <a:avLst>
            <a:gd name="adj" fmla="val 3244"/>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0</xdr:colOff>
      <xdr:row>6</xdr:row>
      <xdr:rowOff>274595</xdr:rowOff>
    </xdr:from>
    <xdr:to>
      <xdr:col>25</xdr:col>
      <xdr:colOff>0</xdr:colOff>
      <xdr:row>10</xdr:row>
      <xdr:rowOff>15119</xdr:rowOff>
    </xdr:to>
    <xdr:sp macro="" textlink="">
      <xdr:nvSpPr>
        <xdr:cNvPr id="11" name="Rectangle: Rounded Corners 10" descr="ndnnf">
          <a:extLst>
            <a:ext uri="{FF2B5EF4-FFF2-40B4-BE49-F238E27FC236}">
              <a16:creationId xmlns:a16="http://schemas.microsoft.com/office/drawing/2014/main" id="{B50F7AA1-7347-AA27-C55D-DF2D3CBFC862}"/>
            </a:ext>
          </a:extLst>
        </xdr:cNvPr>
        <xdr:cNvSpPr/>
      </xdr:nvSpPr>
      <xdr:spPr>
        <a:xfrm>
          <a:off x="11987770" y="1355811"/>
          <a:ext cx="1827771" cy="572889"/>
        </a:xfrm>
        <a:prstGeom prst="roundRect">
          <a:avLst>
            <a:gd name="adj" fmla="val 9178"/>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486713</xdr:colOff>
      <xdr:row>15</xdr:row>
      <xdr:rowOff>120211</xdr:rowOff>
    </xdr:from>
    <xdr:to>
      <xdr:col>4</xdr:col>
      <xdr:colOff>275675</xdr:colOff>
      <xdr:row>22</xdr:row>
      <xdr:rowOff>151847</xdr:rowOff>
    </xdr:to>
    <xdr:sp macro="" textlink="">
      <xdr:nvSpPr>
        <xdr:cNvPr id="19" name="Rectangle: Rounded Corners 18">
          <a:extLst>
            <a:ext uri="{FF2B5EF4-FFF2-40B4-BE49-F238E27FC236}">
              <a16:creationId xmlns:a16="http://schemas.microsoft.com/office/drawing/2014/main" id="{8F8357E6-6413-839E-7854-C1CFC25EE2A7}"/>
            </a:ext>
          </a:extLst>
        </xdr:cNvPr>
        <xdr:cNvSpPr/>
      </xdr:nvSpPr>
      <xdr:spPr>
        <a:xfrm>
          <a:off x="1091475" y="2947473"/>
          <a:ext cx="1603248" cy="1301636"/>
        </a:xfrm>
        <a:prstGeom prst="roundRect">
          <a:avLst>
            <a:gd name="adj" fmla="val 2732"/>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507476</xdr:colOff>
      <xdr:row>8</xdr:row>
      <xdr:rowOff>146097</xdr:rowOff>
    </xdr:from>
    <xdr:to>
      <xdr:col>4</xdr:col>
      <xdr:colOff>262442</xdr:colOff>
      <xdr:row>15</xdr:row>
      <xdr:rowOff>66720</xdr:rowOff>
    </xdr:to>
    <xdr:sp macro="" textlink="">
      <xdr:nvSpPr>
        <xdr:cNvPr id="20" name="Rectangle: Rounded Corners 19">
          <a:extLst>
            <a:ext uri="{FF2B5EF4-FFF2-40B4-BE49-F238E27FC236}">
              <a16:creationId xmlns:a16="http://schemas.microsoft.com/office/drawing/2014/main" id="{19772146-BBD0-CE85-5238-D09BE3086E6A}"/>
            </a:ext>
          </a:extLst>
        </xdr:cNvPr>
        <xdr:cNvSpPr/>
      </xdr:nvSpPr>
      <xdr:spPr>
        <a:xfrm>
          <a:off x="1112238" y="1703359"/>
          <a:ext cx="1569252" cy="1190623"/>
        </a:xfrm>
        <a:prstGeom prst="roundRect">
          <a:avLst>
            <a:gd name="adj" fmla="val 2591"/>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485512</xdr:colOff>
      <xdr:row>23</xdr:row>
      <xdr:rowOff>25882</xdr:rowOff>
    </xdr:from>
    <xdr:to>
      <xdr:col>4</xdr:col>
      <xdr:colOff>273945</xdr:colOff>
      <xdr:row>30</xdr:row>
      <xdr:rowOff>78798</xdr:rowOff>
    </xdr:to>
    <xdr:sp macro="" textlink="">
      <xdr:nvSpPr>
        <xdr:cNvPr id="21" name="Rectangle: Rounded Corners 20">
          <a:extLst>
            <a:ext uri="{FF2B5EF4-FFF2-40B4-BE49-F238E27FC236}">
              <a16:creationId xmlns:a16="http://schemas.microsoft.com/office/drawing/2014/main" id="{A1DDC63B-2610-E99A-9FD5-0E4F2FE21059}"/>
            </a:ext>
          </a:extLst>
        </xdr:cNvPr>
        <xdr:cNvSpPr/>
      </xdr:nvSpPr>
      <xdr:spPr>
        <a:xfrm>
          <a:off x="1090274" y="4304572"/>
          <a:ext cx="1602719" cy="1322916"/>
        </a:xfrm>
        <a:prstGeom prst="roundRect">
          <a:avLst>
            <a:gd name="adj" fmla="val 4236"/>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437144</xdr:colOff>
      <xdr:row>45</xdr:row>
      <xdr:rowOff>56123</xdr:rowOff>
    </xdr:from>
    <xdr:to>
      <xdr:col>4</xdr:col>
      <xdr:colOff>260238</xdr:colOff>
      <xdr:row>51</xdr:row>
      <xdr:rowOff>96631</xdr:rowOff>
    </xdr:to>
    <xdr:sp macro="" textlink="">
      <xdr:nvSpPr>
        <xdr:cNvPr id="22" name="Rectangle: Rounded Corners 21">
          <a:extLst>
            <a:ext uri="{FF2B5EF4-FFF2-40B4-BE49-F238E27FC236}">
              <a16:creationId xmlns:a16="http://schemas.microsoft.com/office/drawing/2014/main" id="{19C44BA5-A0E3-0660-A3F3-C0C3A56CAE95}"/>
            </a:ext>
          </a:extLst>
        </xdr:cNvPr>
        <xdr:cNvSpPr/>
      </xdr:nvSpPr>
      <xdr:spPr>
        <a:xfrm>
          <a:off x="1045686" y="8496331"/>
          <a:ext cx="1648719" cy="1151758"/>
        </a:xfrm>
        <a:prstGeom prst="roundRect">
          <a:avLst>
            <a:gd name="adj" fmla="val 2921"/>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438454</xdr:colOff>
      <xdr:row>38</xdr:row>
      <xdr:rowOff>36968</xdr:rowOff>
    </xdr:from>
    <xdr:to>
      <xdr:col>4</xdr:col>
      <xdr:colOff>275101</xdr:colOff>
      <xdr:row>45</xdr:row>
      <xdr:rowOff>4680</xdr:rowOff>
    </xdr:to>
    <xdr:sp macro="" textlink="">
      <xdr:nvSpPr>
        <xdr:cNvPr id="23" name="Rectangle: Rounded Corners 22">
          <a:extLst>
            <a:ext uri="{FF2B5EF4-FFF2-40B4-BE49-F238E27FC236}">
              <a16:creationId xmlns:a16="http://schemas.microsoft.com/office/drawing/2014/main" id="{4A317FD1-4777-A76A-6C4D-708CE27D5F6A}"/>
            </a:ext>
          </a:extLst>
        </xdr:cNvPr>
        <xdr:cNvSpPr/>
      </xdr:nvSpPr>
      <xdr:spPr>
        <a:xfrm>
          <a:off x="1043216" y="7037087"/>
          <a:ext cx="1650933" cy="1237712"/>
        </a:xfrm>
        <a:prstGeom prst="roundRect">
          <a:avLst>
            <a:gd name="adj" fmla="val 5388"/>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452088</xdr:colOff>
      <xdr:row>30</xdr:row>
      <xdr:rowOff>145522</xdr:rowOff>
    </xdr:from>
    <xdr:to>
      <xdr:col>4</xdr:col>
      <xdr:colOff>286606</xdr:colOff>
      <xdr:row>37</xdr:row>
      <xdr:rowOff>172204</xdr:rowOff>
    </xdr:to>
    <xdr:sp macro="" textlink="">
      <xdr:nvSpPr>
        <xdr:cNvPr id="24" name="Rectangle: Rounded Corners 23">
          <a:extLst>
            <a:ext uri="{FF2B5EF4-FFF2-40B4-BE49-F238E27FC236}">
              <a16:creationId xmlns:a16="http://schemas.microsoft.com/office/drawing/2014/main" id="{3F7D0151-3099-400D-C243-031DED16DB22}"/>
            </a:ext>
          </a:extLst>
        </xdr:cNvPr>
        <xdr:cNvSpPr/>
      </xdr:nvSpPr>
      <xdr:spPr>
        <a:xfrm>
          <a:off x="1056850" y="5694212"/>
          <a:ext cx="1648804" cy="1296682"/>
        </a:xfrm>
        <a:prstGeom prst="roundRect">
          <a:avLst>
            <a:gd name="adj" fmla="val 7532"/>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520674</xdr:colOff>
      <xdr:row>3</xdr:row>
      <xdr:rowOff>110434</xdr:rowOff>
    </xdr:from>
    <xdr:to>
      <xdr:col>4</xdr:col>
      <xdr:colOff>276827</xdr:colOff>
      <xdr:row>8</xdr:row>
      <xdr:rowOff>96630</xdr:rowOff>
    </xdr:to>
    <xdr:sp macro="" textlink="">
      <xdr:nvSpPr>
        <xdr:cNvPr id="4" name="Rectangle: Rounded Corners 3">
          <a:extLst>
            <a:ext uri="{FF2B5EF4-FFF2-40B4-BE49-F238E27FC236}">
              <a16:creationId xmlns:a16="http://schemas.microsoft.com/office/drawing/2014/main" id="{D343238A-89C1-86EC-951F-9DA0AA0E8C90}"/>
            </a:ext>
          </a:extLst>
        </xdr:cNvPr>
        <xdr:cNvSpPr/>
      </xdr:nvSpPr>
      <xdr:spPr>
        <a:xfrm>
          <a:off x="1125436" y="654720"/>
          <a:ext cx="1570439" cy="999172"/>
        </a:xfrm>
        <a:prstGeom prst="roundRect">
          <a:avLst>
            <a:gd name="adj" fmla="val 7351"/>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411762</xdr:colOff>
      <xdr:row>3</xdr:row>
      <xdr:rowOff>147111</xdr:rowOff>
    </xdr:from>
    <xdr:to>
      <xdr:col>10</xdr:col>
      <xdr:colOff>463100</xdr:colOff>
      <xdr:row>20</xdr:row>
      <xdr:rowOff>53814</xdr:rowOff>
    </xdr:to>
    <xdr:sp macro="" textlink="">
      <xdr:nvSpPr>
        <xdr:cNvPr id="26" name="Rectangle: Rounded Corners 25">
          <a:extLst>
            <a:ext uri="{FF2B5EF4-FFF2-40B4-BE49-F238E27FC236}">
              <a16:creationId xmlns:a16="http://schemas.microsoft.com/office/drawing/2014/main" id="{BD96E25F-5AC3-143E-C332-9023613A86F8}"/>
            </a:ext>
          </a:extLst>
        </xdr:cNvPr>
        <xdr:cNvSpPr/>
      </xdr:nvSpPr>
      <xdr:spPr>
        <a:xfrm>
          <a:off x="2830810" y="691397"/>
          <a:ext cx="3679909" cy="3096822"/>
        </a:xfrm>
        <a:prstGeom prst="roundRect">
          <a:avLst>
            <a:gd name="adj" fmla="val 2088"/>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34917</xdr:colOff>
      <xdr:row>0</xdr:row>
      <xdr:rowOff>0</xdr:rowOff>
    </xdr:from>
    <xdr:to>
      <xdr:col>14</xdr:col>
      <xdr:colOff>20109</xdr:colOff>
      <xdr:row>0</xdr:row>
      <xdr:rowOff>0</xdr:rowOff>
    </xdr:to>
    <xdr:sp macro="" textlink="">
      <xdr:nvSpPr>
        <xdr:cNvPr id="27" name="Rectangle: Rounded Corners 26">
          <a:extLst>
            <a:ext uri="{FF2B5EF4-FFF2-40B4-BE49-F238E27FC236}">
              <a16:creationId xmlns:a16="http://schemas.microsoft.com/office/drawing/2014/main" id="{ABAA36D9-BD0F-3CA4-6B27-22D59C0A6AAF}"/>
            </a:ext>
          </a:extLst>
        </xdr:cNvPr>
        <xdr:cNvSpPr/>
      </xdr:nvSpPr>
      <xdr:spPr>
        <a:xfrm>
          <a:off x="4903250" y="0"/>
          <a:ext cx="3636442" cy="0"/>
        </a:xfrm>
        <a:prstGeom prst="roundRect">
          <a:avLst>
            <a:gd name="adj" fmla="val 8837"/>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0</xdr:colOff>
      <xdr:row>10</xdr:row>
      <xdr:rowOff>112531</xdr:rowOff>
    </xdr:from>
    <xdr:to>
      <xdr:col>25</xdr:col>
      <xdr:colOff>13230</xdr:colOff>
      <xdr:row>23</xdr:row>
      <xdr:rowOff>1</xdr:rowOff>
    </xdr:to>
    <xdr:sp macro="" textlink="">
      <xdr:nvSpPr>
        <xdr:cNvPr id="30" name="Rectangle: Rounded Corners 29">
          <a:extLst>
            <a:ext uri="{FF2B5EF4-FFF2-40B4-BE49-F238E27FC236}">
              <a16:creationId xmlns:a16="http://schemas.microsoft.com/office/drawing/2014/main" id="{5D2AA85F-DBC5-0A2B-18DE-A53C6C594CD4}"/>
            </a:ext>
          </a:extLst>
        </xdr:cNvPr>
        <xdr:cNvSpPr/>
      </xdr:nvSpPr>
      <xdr:spPr>
        <a:xfrm>
          <a:off x="6654271" y="2070448"/>
          <a:ext cx="7117292" cy="2295178"/>
        </a:xfrm>
        <a:prstGeom prst="roundRect">
          <a:avLst>
            <a:gd name="adj" fmla="val 4625"/>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0</xdr:colOff>
      <xdr:row>23</xdr:row>
      <xdr:rowOff>64662</xdr:rowOff>
    </xdr:from>
    <xdr:to>
      <xdr:col>24</xdr:col>
      <xdr:colOff>589528</xdr:colOff>
      <xdr:row>37</xdr:row>
      <xdr:rowOff>158750</xdr:rowOff>
    </xdr:to>
    <xdr:sp macro="" textlink="">
      <xdr:nvSpPr>
        <xdr:cNvPr id="32" name="Rectangle: Rounded Corners 31">
          <a:extLst>
            <a:ext uri="{FF2B5EF4-FFF2-40B4-BE49-F238E27FC236}">
              <a16:creationId xmlns:a16="http://schemas.microsoft.com/office/drawing/2014/main" id="{9D89F6DB-BD0D-1030-5F3C-8D4A6F8DA91D}"/>
            </a:ext>
          </a:extLst>
        </xdr:cNvPr>
        <xdr:cNvSpPr/>
      </xdr:nvSpPr>
      <xdr:spPr>
        <a:xfrm>
          <a:off x="6654271" y="4430287"/>
          <a:ext cx="7085049" cy="2687005"/>
        </a:xfrm>
        <a:prstGeom prst="roundRect">
          <a:avLst>
            <a:gd name="adj" fmla="val 2895"/>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394000</xdr:colOff>
      <xdr:row>20</xdr:row>
      <xdr:rowOff>110837</xdr:rowOff>
    </xdr:from>
    <xdr:to>
      <xdr:col>10</xdr:col>
      <xdr:colOff>449791</xdr:colOff>
      <xdr:row>37</xdr:row>
      <xdr:rowOff>170333</xdr:rowOff>
    </xdr:to>
    <xdr:sp macro="" textlink="">
      <xdr:nvSpPr>
        <xdr:cNvPr id="33" name="Rectangle: Rounded Corners 32">
          <a:extLst>
            <a:ext uri="{FF2B5EF4-FFF2-40B4-BE49-F238E27FC236}">
              <a16:creationId xmlns:a16="http://schemas.microsoft.com/office/drawing/2014/main" id="{CD350D6A-70B5-07EF-D7D7-AF1C60B27FEA}"/>
            </a:ext>
          </a:extLst>
        </xdr:cNvPr>
        <xdr:cNvSpPr/>
      </xdr:nvSpPr>
      <xdr:spPr>
        <a:xfrm>
          <a:off x="2828167" y="3920837"/>
          <a:ext cx="3707041" cy="3208038"/>
        </a:xfrm>
        <a:prstGeom prst="roundRect">
          <a:avLst>
            <a:gd name="adj" fmla="val 2179"/>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72603</xdr:colOff>
      <xdr:row>19</xdr:row>
      <xdr:rowOff>151650</xdr:rowOff>
    </xdr:from>
    <xdr:to>
      <xdr:col>32</xdr:col>
      <xdr:colOff>229247</xdr:colOff>
      <xdr:row>34</xdr:row>
      <xdr:rowOff>41413</xdr:rowOff>
    </xdr:to>
    <xdr:sp macro="" textlink="">
      <xdr:nvSpPr>
        <xdr:cNvPr id="34" name="Rectangle: Rounded Corners 33">
          <a:extLst>
            <a:ext uri="{FF2B5EF4-FFF2-40B4-BE49-F238E27FC236}">
              <a16:creationId xmlns:a16="http://schemas.microsoft.com/office/drawing/2014/main" id="{3B929B34-86E8-7BA5-9690-62C49E3F70EB}"/>
            </a:ext>
          </a:extLst>
        </xdr:cNvPr>
        <xdr:cNvSpPr/>
      </xdr:nvSpPr>
      <xdr:spPr>
        <a:xfrm>
          <a:off x="13830936" y="3776442"/>
          <a:ext cx="4416436" cy="2667888"/>
        </a:xfrm>
        <a:prstGeom prst="roundRect">
          <a:avLst>
            <a:gd name="adj" fmla="val 2955"/>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396875</xdr:colOff>
      <xdr:row>38</xdr:row>
      <xdr:rowOff>39082</xdr:rowOff>
    </xdr:from>
    <xdr:to>
      <xdr:col>24</xdr:col>
      <xdr:colOff>595312</xdr:colOff>
      <xdr:row>51</xdr:row>
      <xdr:rowOff>107395</xdr:rowOff>
    </xdr:to>
    <xdr:sp macro="" textlink="">
      <xdr:nvSpPr>
        <xdr:cNvPr id="35" name="Rectangle: Rounded Corners 34">
          <a:extLst>
            <a:ext uri="{FF2B5EF4-FFF2-40B4-BE49-F238E27FC236}">
              <a16:creationId xmlns:a16="http://schemas.microsoft.com/office/drawing/2014/main" id="{ED348FD7-4A47-B6F8-AFC5-E56CE45E53EF}"/>
            </a:ext>
          </a:extLst>
        </xdr:cNvPr>
        <xdr:cNvSpPr/>
      </xdr:nvSpPr>
      <xdr:spPr>
        <a:xfrm>
          <a:off x="2831042" y="7182832"/>
          <a:ext cx="10914062" cy="2476021"/>
        </a:xfrm>
        <a:prstGeom prst="roundRect">
          <a:avLst>
            <a:gd name="adj" fmla="val 1938"/>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91282</xdr:colOff>
      <xdr:row>3</xdr:row>
      <xdr:rowOff>108482</xdr:rowOff>
    </xdr:from>
    <xdr:to>
      <xdr:col>32</xdr:col>
      <xdr:colOff>210346</xdr:colOff>
      <xdr:row>19</xdr:row>
      <xdr:rowOff>96864</xdr:rowOff>
    </xdr:to>
    <xdr:sp macro="" textlink="">
      <xdr:nvSpPr>
        <xdr:cNvPr id="36" name="Rectangle: Rounded Corners 35">
          <a:extLst>
            <a:ext uri="{FF2B5EF4-FFF2-40B4-BE49-F238E27FC236}">
              <a16:creationId xmlns:a16="http://schemas.microsoft.com/office/drawing/2014/main" id="{1E1930CD-C439-2EC6-1E1E-E81DEEBF69FE}"/>
            </a:ext>
          </a:extLst>
        </xdr:cNvPr>
        <xdr:cNvSpPr/>
      </xdr:nvSpPr>
      <xdr:spPr>
        <a:xfrm>
          <a:off x="13804258" y="652768"/>
          <a:ext cx="4352398" cy="2997072"/>
        </a:xfrm>
        <a:prstGeom prst="roundRect">
          <a:avLst>
            <a:gd name="adj" fmla="val 2795"/>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99033</xdr:colOff>
      <xdr:row>34</xdr:row>
      <xdr:rowOff>96632</xdr:rowOff>
    </xdr:from>
    <xdr:to>
      <xdr:col>32</xdr:col>
      <xdr:colOff>255677</xdr:colOff>
      <xdr:row>51</xdr:row>
      <xdr:rowOff>104355</xdr:rowOff>
    </xdr:to>
    <xdr:sp macro="" textlink="">
      <xdr:nvSpPr>
        <xdr:cNvPr id="37" name="Rectangle: Rounded Corners 36">
          <a:extLst>
            <a:ext uri="{FF2B5EF4-FFF2-40B4-BE49-F238E27FC236}">
              <a16:creationId xmlns:a16="http://schemas.microsoft.com/office/drawing/2014/main" id="{DB985A32-BCE0-298E-5785-0A82383505DF}"/>
            </a:ext>
          </a:extLst>
        </xdr:cNvPr>
        <xdr:cNvSpPr/>
      </xdr:nvSpPr>
      <xdr:spPr>
        <a:xfrm>
          <a:off x="13857366" y="6499549"/>
          <a:ext cx="4416436" cy="3156264"/>
        </a:xfrm>
        <a:prstGeom prst="roundRect">
          <a:avLst>
            <a:gd name="adj" fmla="val 2969"/>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358910</xdr:colOff>
      <xdr:row>39</xdr:row>
      <xdr:rowOff>39688</xdr:rowOff>
    </xdr:from>
    <xdr:to>
      <xdr:col>24</xdr:col>
      <xdr:colOff>476249</xdr:colOff>
      <xdr:row>50</xdr:row>
      <xdr:rowOff>174966</xdr:rowOff>
    </xdr:to>
    <xdr:graphicFrame macro="">
      <xdr:nvGraphicFramePr>
        <xdr:cNvPr id="5" name="Chart 4">
          <a:extLst>
            <a:ext uri="{FF2B5EF4-FFF2-40B4-BE49-F238E27FC236}">
              <a16:creationId xmlns:a16="http://schemas.microsoft.com/office/drawing/2014/main" id="{EB6DF2B6-E238-4734-8A8F-7B79B8E2F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277809</xdr:colOff>
      <xdr:row>11</xdr:row>
      <xdr:rowOff>61532</xdr:rowOff>
    </xdr:from>
    <xdr:to>
      <xdr:col>24</xdr:col>
      <xdr:colOff>410101</xdr:colOff>
      <xdr:row>21</xdr:row>
      <xdr:rowOff>105834</xdr:rowOff>
    </xdr:to>
    <xdr:graphicFrame macro="">
      <xdr:nvGraphicFramePr>
        <xdr:cNvPr id="40" name="Chart 39">
          <a:extLst>
            <a:ext uri="{FF2B5EF4-FFF2-40B4-BE49-F238E27FC236}">
              <a16:creationId xmlns:a16="http://schemas.microsoft.com/office/drawing/2014/main" id="{59F5E3E6-97DF-4B3F-B8E1-42876C8BA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226816</xdr:colOff>
      <xdr:row>35</xdr:row>
      <xdr:rowOff>165652</xdr:rowOff>
    </xdr:from>
    <xdr:to>
      <xdr:col>32</xdr:col>
      <xdr:colOff>212240</xdr:colOff>
      <xdr:row>51</xdr:row>
      <xdr:rowOff>69023</xdr:rowOff>
    </xdr:to>
    <xdr:graphicFrame macro="">
      <xdr:nvGraphicFramePr>
        <xdr:cNvPr id="41" name="Chart 40">
          <a:extLst>
            <a:ext uri="{FF2B5EF4-FFF2-40B4-BE49-F238E27FC236}">
              <a16:creationId xmlns:a16="http://schemas.microsoft.com/office/drawing/2014/main" id="{62010F33-F00C-43D4-9F34-022E88A2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497612</xdr:colOff>
      <xdr:row>4</xdr:row>
      <xdr:rowOff>138044</xdr:rowOff>
    </xdr:from>
    <xdr:to>
      <xdr:col>10</xdr:col>
      <xdr:colOff>359570</xdr:colOff>
      <xdr:row>19</xdr:row>
      <xdr:rowOff>13804</xdr:rowOff>
    </xdr:to>
    <xdr:graphicFrame macro="">
      <xdr:nvGraphicFramePr>
        <xdr:cNvPr id="42" name="Chart 41">
          <a:extLst>
            <a:ext uri="{FF2B5EF4-FFF2-40B4-BE49-F238E27FC236}">
              <a16:creationId xmlns:a16="http://schemas.microsoft.com/office/drawing/2014/main" id="{DD302969-5D91-42EA-9781-3CF16BA5B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585535</xdr:colOff>
      <xdr:row>21</xdr:row>
      <xdr:rowOff>69023</xdr:rowOff>
    </xdr:from>
    <xdr:to>
      <xdr:col>10</xdr:col>
      <xdr:colOff>304270</xdr:colOff>
      <xdr:row>37</xdr:row>
      <xdr:rowOff>82827</xdr:rowOff>
    </xdr:to>
    <xdr:graphicFrame macro="">
      <xdr:nvGraphicFramePr>
        <xdr:cNvPr id="43" name="Chart 42">
          <a:extLst>
            <a:ext uri="{FF2B5EF4-FFF2-40B4-BE49-F238E27FC236}">
              <a16:creationId xmlns:a16="http://schemas.microsoft.com/office/drawing/2014/main" id="{EE0C8CE7-290A-4AFC-AE7F-14DF6510B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310016</xdr:colOff>
      <xdr:row>20</xdr:row>
      <xdr:rowOff>110436</xdr:rowOff>
    </xdr:from>
    <xdr:to>
      <xdr:col>32</xdr:col>
      <xdr:colOff>130560</xdr:colOff>
      <xdr:row>33</xdr:row>
      <xdr:rowOff>27609</xdr:rowOff>
    </xdr:to>
    <xdr:graphicFrame macro="">
      <xdr:nvGraphicFramePr>
        <xdr:cNvPr id="44" name="Chart 43">
          <a:extLst>
            <a:ext uri="{FF2B5EF4-FFF2-40B4-BE49-F238E27FC236}">
              <a16:creationId xmlns:a16="http://schemas.microsoft.com/office/drawing/2014/main" id="{2329E040-52FD-4BD0-B8C5-0D9CD0E93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220777</xdr:colOff>
      <xdr:row>3</xdr:row>
      <xdr:rowOff>163698</xdr:rowOff>
    </xdr:from>
    <xdr:to>
      <xdr:col>32</xdr:col>
      <xdr:colOff>146584</xdr:colOff>
      <xdr:row>19</xdr:row>
      <xdr:rowOff>13804</xdr:rowOff>
    </xdr:to>
    <xdr:graphicFrame macro="">
      <xdr:nvGraphicFramePr>
        <xdr:cNvPr id="45" name="Chart 44">
          <a:extLst>
            <a:ext uri="{FF2B5EF4-FFF2-40B4-BE49-F238E27FC236}">
              <a16:creationId xmlns:a16="http://schemas.microsoft.com/office/drawing/2014/main" id="{7FB964CD-C366-46D7-909E-61C8E0AE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119062</xdr:colOff>
      <xdr:row>23</xdr:row>
      <xdr:rowOff>173132</xdr:rowOff>
    </xdr:from>
    <xdr:to>
      <xdr:col>24</xdr:col>
      <xdr:colOff>478545</xdr:colOff>
      <xdr:row>37</xdr:row>
      <xdr:rowOff>1729</xdr:rowOff>
    </xdr:to>
    <xdr:graphicFrame macro="">
      <xdr:nvGraphicFramePr>
        <xdr:cNvPr id="46" name="Chart 45">
          <a:extLst>
            <a:ext uri="{FF2B5EF4-FFF2-40B4-BE49-F238E27FC236}">
              <a16:creationId xmlns:a16="http://schemas.microsoft.com/office/drawing/2014/main" id="{40913FA1-AB68-4BED-9C45-D6AF4D205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568853</xdr:colOff>
      <xdr:row>4</xdr:row>
      <xdr:rowOff>4178</xdr:rowOff>
    </xdr:from>
    <xdr:to>
      <xdr:col>4</xdr:col>
      <xdr:colOff>245088</xdr:colOff>
      <xdr:row>8</xdr:row>
      <xdr:rowOff>30636</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ABF112EC-B95E-4B74-AE0E-9FD204CCF57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81956" y="748661"/>
              <a:ext cx="1515546" cy="88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21586</xdr:colOff>
      <xdr:row>9</xdr:row>
      <xdr:rowOff>108618</xdr:rowOff>
    </xdr:from>
    <xdr:to>
      <xdr:col>4</xdr:col>
      <xdr:colOff>133684</xdr:colOff>
      <xdr:row>14</xdr:row>
      <xdr:rowOff>82159</xdr:rowOff>
    </xdr:to>
    <mc:AlternateContent xmlns:mc="http://schemas.openxmlformats.org/markup-compatibility/2006" xmlns:a14="http://schemas.microsoft.com/office/drawing/2010/main">
      <mc:Choice Requires="a14">
        <xdr:graphicFrame macro="">
          <xdr:nvGraphicFramePr>
            <xdr:cNvPr id="16" name="Day 1">
              <a:extLst>
                <a:ext uri="{FF2B5EF4-FFF2-40B4-BE49-F238E27FC236}">
                  <a16:creationId xmlns:a16="http://schemas.microsoft.com/office/drawing/2014/main" id="{E660C088-F8CF-4B6E-AD24-02526501666C}"/>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247793" y="1893187"/>
              <a:ext cx="1338305" cy="904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16</xdr:row>
      <xdr:rowOff>154572</xdr:rowOff>
    </xdr:from>
    <xdr:to>
      <xdr:col>4</xdr:col>
      <xdr:colOff>211667</xdr:colOff>
      <xdr:row>21</xdr:row>
      <xdr:rowOff>154572</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3A0A8188-1F71-4012-8E94-B636B094C8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6208" y="3241986"/>
              <a:ext cx="1437873" cy="930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550536</xdr:colOff>
      <xdr:row>24</xdr:row>
      <xdr:rowOff>45309</xdr:rowOff>
    </xdr:from>
    <xdr:to>
      <xdr:col>4</xdr:col>
      <xdr:colOff>167106</xdr:colOff>
      <xdr:row>28</xdr:row>
      <xdr:rowOff>157355</xdr:rowOff>
    </xdr:to>
    <mc:AlternateContent xmlns:mc="http://schemas.openxmlformats.org/markup-compatibility/2006" xmlns:a14="http://schemas.microsoft.com/office/drawing/2010/main">
      <mc:Choice Requires="a14">
        <xdr:graphicFrame macro="">
          <xdr:nvGraphicFramePr>
            <xdr:cNvPr id="28" name="Product 1">
              <a:extLst>
                <a:ext uri="{FF2B5EF4-FFF2-40B4-BE49-F238E27FC236}">
                  <a16:creationId xmlns:a16="http://schemas.microsoft.com/office/drawing/2014/main" id="{0959AB94-C3D1-46BA-9A0D-F2DA535E059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63639" y="4621688"/>
              <a:ext cx="1455881" cy="856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11139</xdr:colOff>
      <xdr:row>31</xdr:row>
      <xdr:rowOff>143485</xdr:rowOff>
    </xdr:from>
    <xdr:to>
      <xdr:col>4</xdr:col>
      <xdr:colOff>178246</xdr:colOff>
      <xdr:row>36</xdr:row>
      <xdr:rowOff>79375</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BDEF8BA8-21AA-46E9-8D01-C2EC70167E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7346" y="6022709"/>
              <a:ext cx="1393314" cy="866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523597</xdr:colOff>
      <xdr:row>39</xdr:row>
      <xdr:rowOff>50882</xdr:rowOff>
    </xdr:from>
    <xdr:to>
      <xdr:col>4</xdr:col>
      <xdr:colOff>122544</xdr:colOff>
      <xdr:row>44</xdr:row>
      <xdr:rowOff>39687</xdr:rowOff>
    </xdr:to>
    <mc:AlternateContent xmlns:mc="http://schemas.openxmlformats.org/markup-compatibility/2006" xmlns:a14="http://schemas.microsoft.com/office/drawing/2010/main">
      <mc:Choice Requires="a14">
        <xdr:graphicFrame macro="">
          <xdr:nvGraphicFramePr>
            <xdr:cNvPr id="39" name="Customer 1">
              <a:extLst>
                <a:ext uri="{FF2B5EF4-FFF2-40B4-BE49-F238E27FC236}">
                  <a16:creationId xmlns:a16="http://schemas.microsoft.com/office/drawing/2014/main" id="{48C772FD-B00A-4AAC-BB90-3E08B2ABFDEF}"/>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mlns="">
        <xdr:sp macro="" textlink="">
          <xdr:nvSpPr>
            <xdr:cNvPr id="0" name=""/>
            <xdr:cNvSpPr>
              <a:spLocks noTextEdit="1"/>
            </xdr:cNvSpPr>
          </xdr:nvSpPr>
          <xdr:spPr>
            <a:xfrm>
              <a:off x="1136700" y="7419072"/>
              <a:ext cx="1438258" cy="919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456755</xdr:colOff>
      <xdr:row>45</xdr:row>
      <xdr:rowOff>183174</xdr:rowOff>
    </xdr:from>
    <xdr:to>
      <xdr:col>4</xdr:col>
      <xdr:colOff>122544</xdr:colOff>
      <xdr:row>50</xdr:row>
      <xdr:rowOff>158750</xdr:rowOff>
    </xdr:to>
    <mc:AlternateContent xmlns:mc="http://schemas.openxmlformats.org/markup-compatibility/2006" xmlns:a14="http://schemas.microsoft.com/office/drawing/2010/main">
      <mc:Choice Requires="a14">
        <xdr:graphicFrame macro="">
          <xdr:nvGraphicFramePr>
            <xdr:cNvPr id="31" name="Sales Rep 1">
              <a:extLst>
                <a:ext uri="{FF2B5EF4-FFF2-40B4-BE49-F238E27FC236}">
                  <a16:creationId xmlns:a16="http://schemas.microsoft.com/office/drawing/2014/main" id="{4CEDFDB3-36B6-42C9-95BC-A64870882844}"/>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1069858" y="8668088"/>
              <a:ext cx="1505100" cy="906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15740743" backgroundQuery="1" createdVersion="8" refreshedVersion="8" minRefreshableVersion="3" recordCount="0" supportSubquery="1" supportAdvancedDrill="1" xr:uid="{B001B05A-C40B-4DB7-B74B-827C2E74D02A}">
  <cacheSource type="external" connectionId="3"/>
  <cacheFields count="9">
    <cacheField name="[Measures].[Total_Sales]" caption="Total_Sales" numFmtId="0" hierarchy="13" level="32767"/>
    <cacheField name="[Table1_1].[Date 1 (Month)].[Date 1 (Month)]" caption="Date 1 (Month)" numFmtId="0" hierarchy="8" level="1">
      <sharedItems count="6">
        <s v="Jan"/>
        <s v="Feb"/>
        <s v="Mar"/>
        <s v="Apr"/>
        <s v="May"/>
        <s v="Jun"/>
      </sharedItems>
    </cacheField>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7"/>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6"/>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8"/>
      </fieldsUsage>
    </cacheHierarchy>
    <cacheHierarchy uniqueName="[Table1_1].[Date 1 (Month)]" caption="Date 1 (Month)" attribute="1" defaultMemberUniqueName="[Table1_1].[Date 1 (Month)].[All]" allUniqueName="[Table1_1].[Date 1 (Month)].[All]" dimensionUniqueName="[Table1_1]" displayFolder="" count="2" memberValueDatatype="130" unbalanced="0">
      <fieldsUsage count="2">
        <fieldUsage x="-1"/>
        <fieldUsage x="1"/>
      </fieldsUsage>
    </cacheHierarchy>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5"/>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0"/>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21990739" backgroundQuery="1" createdVersion="8" refreshedVersion="8" minRefreshableVersion="3" recordCount="0" supportSubquery="1" supportAdvancedDrill="1" xr:uid="{C2A38BDA-7ED5-4128-8978-F13C9DAB2CEB}">
  <cacheSource type="external" connectionId="3"/>
  <cacheFields count="8">
    <cacheField name="[Table1_1].[Region].[Region]" caption="Region" numFmtId="0" hierarchy="1" level="1">
      <sharedItems count="4">
        <s v="East"/>
        <s v="North"/>
        <s v="South"/>
        <s v="West"/>
      </sharedItems>
    </cacheField>
    <cacheField name="[Measures].[Total_Sales]" caption="Total_Sales" numFmtId="0" hierarchy="13"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6"/>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5"/>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26620373" backgroundQuery="1" createdVersion="8" refreshedVersion="8" minRefreshableVersion="3" recordCount="0" supportSubquery="1" supportAdvancedDrill="1" xr:uid="{144A0C0E-113A-4B75-86BE-E90A36A116BF}">
  <cacheSource type="external" connectionId="3"/>
  <cacheFields count="7">
    <cacheField name="[Table1_1].[Category].[Category]" caption="Category" numFmtId="0" hierarchy="3" level="1">
      <sharedItems count="6">
        <s v="Audio"/>
        <s v="Computers"/>
        <s v="Electronics"/>
        <s v="Mobile"/>
        <s v="Peripherals"/>
        <s v="Photography"/>
      </sharedItems>
    </cacheField>
    <cacheField name="[Measures].[Total_Sales]" caption="Total_Sales" numFmtId="0" hierarchy="13" level="32767"/>
    <cacheField name="[Table1_1].[Sales Rep].[Sales Rep]" caption="Sales Rep" numFmtId="0" hierarchy="6"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0" memberValueDatatype="130" unbalanced="0"/>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3"/>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4"/>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32523147" backgroundQuery="1" createdVersion="8" refreshedVersion="8" minRefreshableVersion="3" recordCount="0" supportSubquery="1" supportAdvancedDrill="1" xr:uid="{E6F054D3-8450-4280-8153-DF5FDF8E6B34}">
  <cacheSource type="external" connectionId="3"/>
  <cacheFields count="8">
    <cacheField name="[Table1_1].[Product].[Product]" caption="Product" numFmtId="0" hierarchy="2" level="1">
      <sharedItems count="7">
        <s v="Camera C100"/>
        <s v="Laptop  A15"/>
        <s v="Monitor M24"/>
        <s v="Phone X12"/>
        <s v="Speaker S10"/>
        <s v="Tablet  T8"/>
        <s v="Tv 43Q"/>
      </sharedItems>
    </cacheField>
    <cacheField name="[Measures].[Total_Unit_Sold]" caption="Total_Unit_Sold" numFmtId="0" hierarchy="15"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5"/>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cacheHierarchy uniqueName="[Measures].[Total_Unit_Sold]" caption="Total_Unit_Sold" measure="1" displayFolder="" measureGroup="Table1_1" count="0" oneField="1">
      <fieldsUsage count="1">
        <fieldUsage x="1"/>
      </fieldsUsage>
    </cacheHierarchy>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39351851" backgroundQuery="1" createdVersion="8" refreshedVersion="8" minRefreshableVersion="3" recordCount="0" supportSubquery="1" supportAdvancedDrill="1" xr:uid="{F7992496-5FC7-4464-BAD3-342D4A5F660A}">
  <cacheSource type="external" connectionId="3"/>
  <cacheFields count="8">
    <cacheField name="[Measures].[Total_Sales]" caption="Total_Sales" numFmtId="0" hierarchy="13"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1"/>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3"/>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4"/>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0"/>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45717594" backgroundQuery="1" createdVersion="8" refreshedVersion="8" minRefreshableVersion="3" recordCount="0" supportSubquery="1" supportAdvancedDrill="1" xr:uid="{AC5BA4CB-1CF2-4559-ADE0-D2D743D83D96}">
  <cacheSource type="external" connectionId="3"/>
  <cacheFields count="8">
    <cacheField name="[Measures].[Total_Unit_Sold]" caption="Total_Unit_Sold" numFmtId="0" hierarchy="15"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1"/>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3"/>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4"/>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cacheHierarchy uniqueName="[Measures].[Total_Unit_Sold]" caption="Total_Unit_Sold" measure="1" displayFolder="" measureGroup="Table1_1" count="0" oneField="1">
      <fieldsUsage count="1">
        <fieldUsage x="0"/>
      </fieldsUsage>
    </cacheHierarchy>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52546298" backgroundQuery="1" createdVersion="8" refreshedVersion="8" minRefreshableVersion="3" recordCount="0" supportSubquery="1" supportAdvancedDrill="1" xr:uid="{FC4C3A5F-8F3A-4A17-9A36-797FD9F6B05F}">
  <cacheSource type="external" connectionId="3"/>
  <cacheFields count="8">
    <cacheField name="[Measures].[Total_Order]" caption="Total_Order" numFmtId="0" hierarchy="14"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1"/>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3"/>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4"/>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oneField="1">
      <fieldsUsage count="1">
        <fieldUsage x="0"/>
      </fieldsUsage>
    </cacheHierarchy>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59490741" backgroundQuery="1" createdVersion="8" refreshedVersion="8" minRefreshableVersion="3" recordCount="0" supportSubquery="1" supportAdvancedDrill="1" xr:uid="{98FC3764-C4BD-4CD2-85FD-8A8BC8A5A788}">
  <cacheSource type="external" connectionId="3"/>
  <cacheFields count="8">
    <cacheField name="[Measures].[Average_Order]" caption="Average_Order" numFmtId="0" hierarchy="16" level="32767"/>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Sales Rep].[Sales Rep]" caption="Sales Rep" numFmtId="0" hierarchy="6"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5"/>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6"/>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2"/>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3"/>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oneField="1">
      <fieldsUsage count="1">
        <fieldUsage x="0"/>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65162037" backgroundQuery="1" createdVersion="8" refreshedVersion="8" minRefreshableVersion="3" recordCount="0" supportSubquery="1" supportAdvancedDrill="1" xr:uid="{6E687C4F-E30B-4AFA-B21A-64EEC34EAC3F}">
  <cacheSource type="external" connectionId="3"/>
  <cacheFields count="8">
    <cacheField name="[Table1_1].[Date 1 - Copy].[Date 1 - Copy]" caption="Date 1 - Copy" numFmtId="0" hierarchy="10" level="1">
      <sharedItems count="7">
        <s v="Friday"/>
        <s v="Monday"/>
        <s v="Saturday"/>
        <s v="Sunday"/>
        <s v="Thursday"/>
        <s v="Tuesday"/>
        <s v="Wednesday"/>
      </sharedItems>
    </cacheField>
    <cacheField name="[Measures].[Total_Sales]" caption="Total_Sales" numFmtId="0" hierarchy="13"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0"/>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70717595" backgroundQuery="1" createdVersion="8" refreshedVersion="8" minRefreshableVersion="3" recordCount="0" supportSubquery="1" supportAdvancedDrill="1" xr:uid="{874DE343-44E1-4198-95B4-43EABE12711B}">
  <cacheSource type="external" connectionId="3"/>
  <cacheFields count="8">
    <cacheField name="[Table1_1].[Region].[Region]" caption="Region" numFmtId="0" hierarchy="1" level="1">
      <sharedItems count="4">
        <s v="East"/>
        <s v="North"/>
        <s v="South"/>
        <s v="West"/>
      </sharedItems>
    </cacheField>
    <cacheField name="[Measures].[Total_Sales]" caption="Total_Sales" numFmtId="0" hierarchy="13"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6"/>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5"/>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75578706" backgroundQuery="1" createdVersion="8" refreshedVersion="8" minRefreshableVersion="3" recordCount="0" supportSubquery="1" supportAdvancedDrill="1" xr:uid="{FB6987B9-C06D-4CDD-953E-C991A7333FBE}">
  <cacheSource type="external" connectionId="3"/>
  <cacheFields count="7">
    <cacheField name="[Table1_1].[Customer].[Customer]" caption="Customer" numFmtId="0" hierarchy="7" level="1">
      <sharedItems count="14">
        <s v="Adewales Stores"/>
        <s v="Alpha Retailers"/>
        <s v="Bright Solutions"/>
        <s v="Chika Mart"/>
        <s v="Emeka Traders"/>
        <s v="Femi Tech"/>
        <s v="Jide Superstores"/>
        <s v="Kelvin Tech"/>
        <s v="Maryam Ltd"/>
        <s v="Musa Enterprises"/>
        <s v="Omega Wholesale"/>
        <s v="Tola Ventures"/>
        <s v="Tope &amp; Sons"/>
        <s v="Zainab Global"/>
      </sharedItems>
    </cacheField>
    <cacheField name="[Measures].[Total_Order]" caption="Total_Order" numFmtId="0" hierarchy="14" level="32767"/>
    <cacheField name="[Table1_1].[Sales Rep].[Sales Rep]" caption="Sales Rep" numFmtId="0" hierarchy="6"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5"/>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0"/>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3"/>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4"/>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oneField="1">
      <fieldsUsage count="1">
        <fieldUsage x="1"/>
      </fieldsUsage>
    </cacheHierarchy>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80902779" backgroundQuery="1" createdVersion="8" refreshedVersion="8" minRefreshableVersion="3" recordCount="0" supportSubquery="1" supportAdvancedDrill="1" xr:uid="{88EDFCFB-A9EB-4A5A-98EF-F9980206ADE6}">
  <cacheSource type="external" connectionId="3"/>
  <cacheFields count="7">
    <cacheField name="[Table1_1].[Sales Rep].[Sales Rep]" caption="Sales Rep" numFmtId="0" hierarchy="6" level="1">
      <sharedItems count="10">
        <s v="Aba Joel"/>
        <s v="Aisha Bello"/>
        <s v="Chinedu Nwosu"/>
        <s v="Fola Balogun"/>
        <s v="Grace Amos"/>
        <s v="Ifeanyi Okafor"/>
        <s v="Job Austin"/>
        <s v="Mary John"/>
        <s v="Peter Obi"/>
        <s v="Praise Odunayo"/>
      </sharedItems>
    </cacheField>
    <cacheField name="[Measures].[Total_Sales]" caption="Total_Sales" numFmtId="0" hierarchy="13" level="32767"/>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Product].[Product]" caption="Product" numFmtId="0" hierarchy="2"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5"/>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0"/>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6"/>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2"/>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3"/>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86805552" backgroundQuery="1" createdVersion="8" refreshedVersion="8" minRefreshableVersion="3" recordCount="0" supportSubquery="1" supportAdvancedDrill="1" xr:uid="{50380F15-BC64-49BC-9CA4-72B53E3500AD}">
  <cacheSource type="external" connectionId="3"/>
  <cacheFields count="8">
    <cacheField name="[Table1_1].[Product].[Product]" caption="Product" numFmtId="0" hierarchy="2" level="1">
      <sharedItems count="7">
        <s v="Camera C100"/>
        <s v="Laptop  A15"/>
        <s v="Monitor M24"/>
        <s v="Phone X12"/>
        <s v="Speaker S10"/>
        <s v="Tablet  T8"/>
        <s v="Tv 43Q"/>
      </sharedItems>
    </cacheField>
    <cacheField name="[Measures].[Total_Sales]" caption="Total_Sales" numFmtId="0" hierarchy="13" level="32767"/>
    <cacheField name="[Table1_1].[Sales Rep].[Sales Rep]" caption="Sales Rep" numFmtId="0" hierarchy="6" level="1">
      <sharedItems containsSemiMixedTypes="0" containsNonDate="0" containsString="0"/>
    </cacheField>
    <cacheField name="[Table1_1].[Category].[Category]" caption="Category" numFmtId="0" hierarchy="3" level="1">
      <sharedItems containsSemiMixedTypes="0" containsNonDate="0" containsString="0"/>
    </cacheField>
    <cacheField name="[Table1_1].[Month].[Month]" caption="Month" numFmtId="0" hierarchy="9" level="1">
      <sharedItems containsSemiMixedTypes="0" containsNonDate="0" containsString="0"/>
    </cacheField>
    <cacheField name="[Table1_1].[Date 1 - Copy].[Date 1 - Copy]" caption="Date 1 - Copy" numFmtId="0" hierarchy="10" level="1">
      <sharedItems containsSemiMixedTypes="0" containsNonDate="0" containsString="0"/>
    </cacheField>
    <cacheField name="[Table1_1].[Region].[Region]" caption="Region" numFmtId="0" hierarchy="1" level="1">
      <sharedItems containsSemiMixedTypes="0" containsNonDate="0" containsString="0"/>
    </cacheField>
    <cacheField name="[Table1_1].[Customer].[Customer]" caption="Customer" numFmtId="0" hierarchy="7" level="1">
      <sharedItems containsSemiMixedTypes="0" containsNonDate="0" containsString="0"/>
    </cacheField>
  </cacheFields>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fieldsUsage count="2">
        <fieldUsage x="-1"/>
        <fieldUsage x="6"/>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3"/>
      </fieldsUsage>
    </cacheHierarchy>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fieldsUsage count="2">
        <fieldUsage x="-1"/>
        <fieldUsage x="2"/>
      </fieldsUsage>
    </cacheHierarchy>
    <cacheHierarchy uniqueName="[Table1_1].[Customer]" caption="Customer" attribute="1" defaultMemberUniqueName="[Table1_1].[Customer].[All]" allUniqueName="[Table1_1].[Customer].[All]" dimensionUniqueName="[Table1_1]" displayFolder="" count="2" memberValueDatatype="130" unbalanced="0">
      <fieldsUsage count="2">
        <fieldUsage x="-1"/>
        <fieldUsage x="7"/>
      </fieldsUsage>
    </cacheHierarchy>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fieldsUsage count="2">
        <fieldUsage x="-1"/>
        <fieldUsage x="4"/>
      </fieldsUsage>
    </cacheHierarchy>
    <cacheHierarchy uniqueName="[Table1_1].[Date 1 - Copy]" caption="Date 1 - Copy" attribute="1" defaultMemberUniqueName="[Table1_1].[Date 1 - Copy].[All]" allUniqueName="[Table1_1].[Date 1 - Copy].[All]" dimensionUniqueName="[Table1_1]" displayFolder="" count="2" memberValueDatatype="130" unbalanced="0">
      <fieldsUsage count="2">
        <fieldUsage x="-1"/>
        <fieldUsage x="5"/>
      </fieldsUsage>
    </cacheHierarchy>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oneField="1">
      <fieldsUsage count="1">
        <fieldUsage x="1"/>
      </fieldsUsage>
    </cacheHierarchy>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618608564815" backgroundQuery="1" createdVersion="3" refreshedVersion="8" minRefreshableVersion="3" recordCount="0" supportSubquery="1" supportAdvancedDrill="1" xr:uid="{FC27FFA1-A685-4ACA-8F71-08F8DA51629F}">
  <cacheSource type="external" connectionId="3">
    <extLst>
      <ext xmlns:x14="http://schemas.microsoft.com/office/spreadsheetml/2009/9/main" uri="{F057638F-6D5F-4e77-A914-E7F072B9BCA8}">
        <x14:sourceConnection name="ThisWorkbookDataModel"/>
      </ext>
    </extLst>
  </cacheSource>
  <cacheFields count="0"/>
  <cacheHierarchies count="19">
    <cacheHierarchy uniqueName="[Table1_1].[Date 1]" caption="Date 1" attribute="1" time="1" defaultMemberUniqueName="[Table1_1].[Date 1].[All]" allUniqueName="[Table1_1].[Date 1].[All]" dimensionUniqueName="[Table1_1]" displayFolder="" count="0" memberValueDatatype="7" unbalanced="0"/>
    <cacheHierarchy uniqueName="[Table1_1].[Region]" caption="Region" attribute="1" defaultMemberUniqueName="[Table1_1].[Region].[All]" allUniqueName="[Table1_1].[Region].[All]" dimensionUniqueName="[Table1_1]" displayFolder="" count="2"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Units Sold]" caption="Units Sold" attribute="1" defaultMemberUniqueName="[Table1_1].[Units Sold].[All]" allUniqueName="[Table1_1].[Units Sold].[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Sales Rep]" caption="Sales Rep" attribute="1" defaultMemberUniqueName="[Table1_1].[Sales Rep].[All]" allUniqueName="[Table1_1].[Sales Rep].[All]" dimensionUniqueName="[Table1_1]" displayFolder="" count="2" memberValueDatatype="130" unbalanced="0"/>
    <cacheHierarchy uniqueName="[Table1_1].[Customer]" caption="Customer" attribute="1" defaultMemberUniqueName="[Table1_1].[Customer].[All]" allUniqueName="[Table1_1].[Customer].[All]" dimensionUniqueName="[Table1_1]" displayFolder="" count="2" memberValueDatatype="130" unbalanced="0"/>
    <cacheHierarchy uniqueName="[Table1_1].[Date 1 (Month)]" caption="Date 1 (Month)" attribute="1" defaultMemberUniqueName="[Table1_1].[Date 1 (Month)].[All]" allUniqueName="[Table1_1].[Date 1 (Month)].[All]" dimensionUniqueName="[Table1_1]" displayFolder="" count="0" memberValueDatatype="130" unbalanced="0"/>
    <cacheHierarchy uniqueName="[Table1_1].[Month]" caption="Month" attribute="1" defaultMemberUniqueName="[Table1_1].[Month].[All]" allUniqueName="[Table1_1].[Month].[All]" dimensionUniqueName="[Table1_1]" displayFolder="" count="2" memberValueDatatype="130" unbalanced="0"/>
    <cacheHierarchy uniqueName="[Table1_1].[Date 1 - Copy]" caption="Date 1 - Copy" attribute="1" defaultMemberUniqueName="[Table1_1].[Date 1 - Copy].[All]" allUniqueName="[Table1_1].[Date 1 - Copy].[All]" dimensionUniqueName="[Table1_1]" displayFolder="" count="2" memberValueDatatype="130" unbalanced="0"/>
    <cacheHierarchy uniqueName="[Table1_1].[Column1]" caption="Column1" attribute="1" defaultMemberUniqueName="[Table1_1].[Column1].[All]" allUniqueName="[Table1_1].[Column1].[All]" dimensionUniqueName="[Table1_1]" displayFolder="" count="0" memberValueDatatype="20" unbalanced="0"/>
    <cacheHierarchy uniqueName="[Table1_1].[Date 1 (Month Index)]" caption="Date 1 (Month Index)" attribute="1" defaultMemberUniqueName="[Table1_1].[Date 1 (Month Index)].[All]" allUniqueName="[Table1_1].[Date 1 (Month Index)].[All]" dimensionUniqueName="[Table1_1]" displayFolder="" count="0" memberValueDatatype="20" unbalanced="0" hidden="1"/>
    <cacheHierarchy uniqueName="[Measures].[Total_Sales]" caption="Total_Sales" measure="1" displayFolder="" measureGroup="Table1_1" count="0"/>
    <cacheHierarchy uniqueName="[Measures].[Total_Order]" caption="Total_Order" measure="1" displayFolder="" measureGroup="Table1_1" count="0"/>
    <cacheHierarchy uniqueName="[Measures].[Total_Unit_Sold]" caption="Total_Unit_Sold" measure="1" displayFolder="" measureGroup="Table1_1" count="0"/>
    <cacheHierarchy uniqueName="[Measures].[Average_Order]" caption="Average_Order"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1592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0234D-3008-4A2B-A8C3-81C9ABE750EF}" name="PivotTable29" cacheId="7" applyNumberFormats="0" applyBorderFormats="0" applyFontFormats="0" applyPatternFormats="0" applyAlignmentFormats="0" applyWidthHeightFormats="1" dataCaption="Values" tag="ab4a7687-4956-4bec-bf4d-e36fcd3099ae" updatedVersion="8" minRefreshableVersion="3" useAutoFormatting="1" subtotalHiddenItems="1" itemPrintTitles="1" createdVersion="8" indent="0" outline="1" outlineData="1" multipleFieldFilters="0">
  <location ref="AT3:AT4"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03138-2DF3-46E3-A5B7-94C7F97DC739}" name="PivotTable24" cacheId="10" applyNumberFormats="0" applyBorderFormats="0" applyFontFormats="0" applyPatternFormats="0" applyAlignmentFormats="0" applyWidthHeightFormats="1" dataCaption="Values" tag="15e45ad3-7506-4b88-ac58-fae419b6e85e" updatedVersion="8" minRefreshableVersion="3" useAutoFormatting="1" subtotalHiddenItems="1" itemPrintTitles="1" createdVersion="8" indent="0" outline="1" outlineData="1" multipleFieldFilters="0" chartFormat="5">
  <location ref="Y2:Z17" firstHeaderRow="1" firstDataRow="1" firstDataCol="1"/>
  <pivotFields count="7">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v="5"/>
    </i>
    <i>
      <x v="9"/>
    </i>
    <i>
      <x v="10"/>
    </i>
    <i>
      <x v="2"/>
    </i>
    <i>
      <x v="7"/>
    </i>
    <i>
      <x v="3"/>
    </i>
    <i>
      <x v="1"/>
    </i>
    <i>
      <x v="4"/>
    </i>
    <i>
      <x v="8"/>
    </i>
    <i>
      <x v="6"/>
    </i>
    <i>
      <x v="12"/>
    </i>
    <i>
      <x v="11"/>
    </i>
    <i>
      <x v="13"/>
    </i>
    <i>
      <x/>
    </i>
    <i t="grand">
      <x/>
    </i>
  </rowItems>
  <colItems count="1">
    <i/>
  </colItems>
  <dataFields count="1">
    <dataField fld="1" subtotal="count" baseField="0" baseItem="0"/>
  </dataFields>
  <chartFormats count="2">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29C64-2FCF-4814-AB0A-61316D6D04FD}" name="PivotTable25" cacheId="11" applyNumberFormats="0" applyBorderFormats="0" applyFontFormats="0" applyPatternFormats="0" applyAlignmentFormats="0" applyWidthHeightFormats="1" dataCaption="Values" tag="9e6e3da9-c834-448a-9e6e-60b0c07df437" updatedVersion="8" minRefreshableVersion="3" useAutoFormatting="1" subtotalHiddenItems="1" itemPrintTitles="1" createdVersion="8" indent="0" outline="1" outlineData="1" multipleFieldFilters="0" chartFormat="7">
  <location ref="AK2:AL13" firstHeaderRow="1" firstDataRow="1" firstDataCol="1"/>
  <pivotFields count="7">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2"/>
    </i>
    <i>
      <x v="3"/>
    </i>
    <i>
      <x v="8"/>
    </i>
    <i>
      <x v="1"/>
    </i>
    <i>
      <x v="5"/>
    </i>
    <i>
      <x v="7"/>
    </i>
    <i>
      <x v="6"/>
    </i>
    <i>
      <x v="9"/>
    </i>
    <i>
      <x/>
    </i>
    <i t="grand">
      <x/>
    </i>
  </rowItems>
  <colItems count="1">
    <i/>
  </colItems>
  <dataFields count="1">
    <dataField fld="1" subtotal="count" baseField="0" baseItem="0" numFmtId="166"/>
  </dataFields>
  <formats count="1">
    <format dxfId="1">
      <pivotArea outline="0" collapsedLevelsAreSubtotals="1" fieldPosition="0"/>
    </format>
  </formats>
  <chartFormats count="8">
    <chartFormat chart="4" format="1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5"/>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6"/>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73B283-131B-48EF-81C0-6E8F691E36C0}" name="PivotTable4" cacheId="9" applyNumberFormats="0" applyBorderFormats="0" applyFontFormats="0" applyPatternFormats="0" applyAlignmentFormats="0" applyWidthHeightFormats="1" dataCaption="Values" tag="ebc7d300-863a-4378-ba9a-4910461a78c8" updatedVersion="8" minRefreshableVersion="3" useAutoFormatting="1" subtotalHiddenItems="1" itemPrintTitles="1" createdVersion="8" indent="0" outline="1" outlineData="1" multipleFieldFilters="0" chartFormat="5">
  <location ref="Q2:R7" firstHeaderRow="1"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6"/>
  </dataFields>
  <formats count="1">
    <format dxfId="2">
      <pivotArea outline="0" collapsedLevelsAreSubtotals="1" fieldPosition="0"/>
    </format>
  </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C5F82A-93E5-4200-8DA4-AF5706CF8789}" name="PivotTable18" cacheId="1" applyNumberFormats="0" applyBorderFormats="0" applyFontFormats="0" applyPatternFormats="0" applyAlignmentFormats="0" applyWidthHeightFormats="1" dataCaption="Values" tag="a9b0e5f4-a6bc-4a43-a101-3cd6f5dc061f" updatedVersion="8" minRefreshableVersion="3" useAutoFormatting="1" subtotalHiddenItems="1" itemPrintTitles="1" createdVersion="8" indent="0" outline="1" outlineData="1" multipleFieldFilters="0" chartFormat="8">
  <location ref="U2:V7" firstHeaderRow="1"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6"/>
  </dataFields>
  <formats count="1">
    <format dxfId="3">
      <pivotArea outline="0" collapsedLevelsAreSubtotals="1" fieldPosition="0"/>
    </format>
  </formats>
  <chartFormats count="21">
    <chartFormat chart="4" format="2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0" count="1" selected="0">
            <x v="0"/>
          </reference>
        </references>
      </pivotArea>
    </chartFormat>
    <chartFormat chart="4" format="27">
      <pivotArea type="data" outline="0" fieldPosition="0">
        <references count="2">
          <reference field="4294967294" count="1" selected="0">
            <x v="0"/>
          </reference>
          <reference field="0" count="1" selected="0">
            <x v="1"/>
          </reference>
        </references>
      </pivotArea>
    </chartFormat>
    <chartFormat chart="4" format="28">
      <pivotArea type="data" outline="0" fieldPosition="0">
        <references count="2">
          <reference field="4294967294" count="1" selected="0">
            <x v="0"/>
          </reference>
          <reference field="0" count="1" selected="0">
            <x v="2"/>
          </reference>
        </references>
      </pivotArea>
    </chartFormat>
    <chartFormat chart="4" format="29">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0" count="1" selected="0">
            <x v="0"/>
          </reference>
        </references>
      </pivotArea>
    </chartFormat>
    <chartFormat chart="7" format="17">
      <pivotArea type="data" outline="0" fieldPosition="0">
        <references count="2">
          <reference field="4294967294" count="1" selected="0">
            <x v="0"/>
          </reference>
          <reference field="0" count="1" selected="0">
            <x v="1"/>
          </reference>
        </references>
      </pivotArea>
    </chartFormat>
    <chartFormat chart="7" format="18">
      <pivotArea type="data" outline="0" fieldPosition="0">
        <references count="2">
          <reference field="4294967294" count="1" selected="0">
            <x v="0"/>
          </reference>
          <reference field="0" count="1" selected="0">
            <x v="2"/>
          </reference>
        </references>
      </pivotArea>
    </chartFormat>
    <chartFormat chart="7" format="19">
      <pivotArea type="data" outline="0" fieldPosition="0">
        <references count="2">
          <reference field="4294967294" count="1" selected="0">
            <x v="0"/>
          </reference>
          <reference field="0" count="1" selected="0">
            <x v="3"/>
          </reference>
        </references>
      </pivotArea>
    </chartFormat>
    <chartFormat chart="6" format="20"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D6CDFF-2FDF-4B81-9F11-81BB647CDC99}" name="PivotTable28" cacheId="6" applyNumberFormats="0" applyBorderFormats="0" applyFontFormats="0" applyPatternFormats="0" applyAlignmentFormats="0" applyWidthHeightFormats="1" dataCaption="Values" tag="fa550c1a-941c-43af-b61d-57e328479d69" updatedVersion="8" minRefreshableVersion="3" useAutoFormatting="1" subtotalHiddenItems="1" itemPrintTitles="1" createdVersion="8" indent="0" outline="1" outlineData="1" multipleFieldFilters="0">
  <location ref="AW3:AW4"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lectronic_Sale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0EC1F8-352A-46F9-A2A2-B7B935DCB896}" name="PivotTable19" cacheId="12" applyNumberFormats="0" applyBorderFormats="0" applyFontFormats="0" applyPatternFormats="0" applyAlignmentFormats="0" applyWidthHeightFormats="1" dataCaption="Values" tag="575e1f9b-371c-4af0-9f4a-306c5c3d0cc7" updatedVersion="8" minRefreshableVersion="3" useAutoFormatting="1" subtotalHiddenItems="1" itemPrintTitles="1" createdVersion="8" indent="0" outline="1" outlineData="1" multipleFieldFilters="0" chartFormat="7">
  <location ref="AP2:AQ10" firstHeaderRow="1" firstDataRow="1" firstDataCol="1"/>
  <pivotFields count="8">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6"/>
    </i>
    <i>
      <x v="5"/>
    </i>
    <i>
      <x/>
    </i>
    <i>
      <x v="3"/>
    </i>
    <i>
      <x v="2"/>
    </i>
    <i>
      <x v="4"/>
    </i>
    <i t="grand">
      <x/>
    </i>
  </rowItems>
  <colItems count="1">
    <i/>
  </colItems>
  <dataFields count="1">
    <dataField fld="1" subtotal="count" baseField="0" baseItem="0" numFmtId="166"/>
  </dataFields>
  <formats count="1">
    <format dxfId="4">
      <pivotArea outline="0" collapsedLevelsAreSubtotals="1" fieldPosition="0"/>
    </format>
  </formats>
  <chartFormats count="9">
    <chartFormat chart="4" format="1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6"/>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6" format="3"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331697-541D-486A-BFF6-88AA50DDA1C4}" name="PivotTable20" cacheId="2" applyNumberFormats="0" applyBorderFormats="0" applyFontFormats="0" applyPatternFormats="0" applyAlignmentFormats="0" applyWidthHeightFormats="1" dataCaption="Values" tag="fdb766e0-6493-49d5-9c2a-235069457ec5" updatedVersion="8" minRefreshableVersion="3" useAutoFormatting="1" subtotalHiddenItems="1" itemPrintTitles="1" createdVersion="8" indent="0" outline="1" outlineData="1" multipleFieldFilters="0" chartFormat="7">
  <location ref="AC2:AD9" firstHeaderRow="1" firstDataRow="1" firstDataCol="1"/>
  <pivotFields count="7">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1"/>
    </i>
    <i>
      <x v="2"/>
    </i>
    <i>
      <x v="3"/>
    </i>
    <i>
      <x v="5"/>
    </i>
    <i>
      <x v="4"/>
    </i>
    <i>
      <x/>
    </i>
    <i t="grand">
      <x/>
    </i>
  </rowItems>
  <colItems count="1">
    <i/>
  </colItems>
  <dataFields count="1">
    <dataField fld="1" subtotal="count" baseField="0" baseItem="0" numFmtId="166"/>
  </dataFields>
  <formats count="1">
    <format dxfId="5">
      <pivotArea outline="0" collapsedLevelsAreSubtotals="1" fieldPosition="0"/>
    </format>
  </formats>
  <chartFormats count="9">
    <chartFormat chart="4" format="1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4" format="16">
      <pivotArea type="data" outline="0" fieldPosition="0">
        <references count="2">
          <reference field="4294967294" count="1" selected="0">
            <x v="0"/>
          </reference>
          <reference field="0" count="1" selected="0">
            <x v="4"/>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4CA513-7AA9-4533-9750-46D5CA49DECD}" name="PivotTable26" cacheId="4" applyNumberFormats="0" applyBorderFormats="0" applyFontFormats="0" applyPatternFormats="0" applyAlignmentFormats="0" applyWidthHeightFormats="1" dataCaption="Values" tag="39a83fd2-c597-436d-9100-24a4329c319e" updatedVersion="8" minRefreshableVersion="3" useAutoFormatting="1" subtotalHiddenItems="1" itemPrintTitles="1" createdVersion="8" indent="0" outline="1" outlineData="1" multipleFieldFilters="0">
  <location ref="N2:N3"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6">
      <pivotArea outline="0" collapsedLevelsAreSubtotals="1" fieldPosition="0"/>
    </format>
  </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onic_Sale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413701-FD3A-4012-BC42-D18849477041}" name="PivotTable17" cacheId="0" applyNumberFormats="0" applyBorderFormats="0" applyFontFormats="0" applyPatternFormats="0" applyAlignmentFormats="0" applyWidthHeightFormats="1" dataCaption="Values" tag="b1769bd4-c1d2-4649-89ef-81ff873d1feb" updatedVersion="8" minRefreshableVersion="3" useAutoFormatting="1" subtotalHiddenItems="1" itemPrintTitles="1" createdVersion="8" indent="0" outline="1" outlineData="1" multipleFieldFilters="0" chartFormat="5">
  <location ref="A3:B10" firstHeaderRow="1" firstDataRow="1" firstDataCol="1"/>
  <pivotFields count="9">
    <pivotField dataField="1" subtotalTop="0" showAll="0" defaultSubtotal="0"/>
    <pivotField axis="axisRow"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166"/>
  </dataFields>
  <formats count="2">
    <format dxfId="8">
      <pivotArea outline="0" collapsedLevelsAreSubtotals="1" fieldPosition="0"/>
    </format>
    <format dxfId="7">
      <pivotArea dataOnly="0" labelOnly="1" outline="0" axis="axisValues" fieldPosition="0"/>
    </format>
  </formats>
  <chartFormats count="3">
    <chartFormat chart="2" format="80" series="1">
      <pivotArea type="data" outline="0" fieldPosition="0">
        <references count="1">
          <reference field="4294967294" count="1" selected="0">
            <x v="0"/>
          </reference>
        </references>
      </pivotArea>
    </chartFormat>
    <chartFormat chart="0" format="78" series="1">
      <pivotArea type="data" outline="0" fieldPosition="0">
        <references count="1">
          <reference field="4294967294" count="1" selected="0">
            <x v="0"/>
          </reference>
        </references>
      </pivotArea>
    </chartFormat>
    <chartFormat chart="4" format="80"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4406F3-2059-4228-A3BD-0B01CABE4802}" name="PivotTable31" cacheId="8" applyNumberFormats="0" applyBorderFormats="0" applyFontFormats="0" applyPatternFormats="0" applyAlignmentFormats="0" applyWidthHeightFormats="1" dataCaption="Values" tag="2dfa9469-9433-439f-9c89-239a9d778166" updatedVersion="8" minRefreshableVersion="3" useAutoFormatting="1" subtotalHiddenItems="1" itemPrintTitles="1" createdVersion="8" indent="0" outline="1" outlineData="1" multipleFieldFilters="0" chartFormat="9">
  <location ref="AG2:AH10" firstHeaderRow="1" firstDataRow="1" firstDataCol="1"/>
  <pivotFields count="8">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66"/>
  </dataFields>
  <formats count="1">
    <format dxfId="9">
      <pivotArea outline="0" collapsedLevelsAreSubtotals="1" fieldPosition="0"/>
    </format>
  </formats>
  <chartFormats count="3">
    <chartFormat chart="6" format="5"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08B5B3-AF9A-4479-8D11-594EF7BE27E5}" name="PivotTable22" cacheId="3" applyNumberFormats="0" applyBorderFormats="0" applyFontFormats="0" applyPatternFormats="0" applyAlignmentFormats="0" applyWidthHeightFormats="1" dataCaption="Values" tag="644a1c54-b8ff-4f4c-b921-975c7e352429" updatedVersion="8" minRefreshableVersion="3" useAutoFormatting="1" subtotalHiddenItems="1" itemPrintTitles="1" createdVersion="8" indent="0" outline="1" outlineData="1" multipleFieldFilters="0" chartFormat="8">
  <location ref="F2:G10" firstHeaderRow="1" firstDataRow="1" firstDataCol="1"/>
  <pivotFields count="8">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3"/>
    </i>
    <i>
      <x v="4"/>
    </i>
    <i>
      <x/>
    </i>
    <i>
      <x v="2"/>
    </i>
    <i>
      <x v="1"/>
    </i>
    <i>
      <x v="6"/>
    </i>
    <i>
      <x v="5"/>
    </i>
    <i t="grand">
      <x/>
    </i>
  </rowItems>
  <colItems count="1">
    <i/>
  </colItems>
  <dataFields count="1">
    <dataField fld="1" subtotal="count" baseField="0" baseItem="0"/>
  </dataFields>
  <chartFormats count="5">
    <chartFormat chart="4"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65C2BC-F6D2-4E26-9406-A675FEA9D47D}" name="PivotTable27" cacheId="5" applyNumberFormats="0" applyBorderFormats="0" applyFontFormats="0" applyPatternFormats="0" applyAlignmentFormats="0" applyWidthHeightFormats="1" dataCaption="Values" tag="5ed1b9da-0574-4b6f-b556-347227f86d01" updatedVersion="8" minRefreshableVersion="3" useAutoFormatting="1" subtotalHiddenItems="1" itemPrintTitles="1" createdVersion="8" indent="0" outline="1" outlineData="1" multipleFieldFilters="0">
  <location ref="K2:K3"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onic_Sale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42AFBF4-5813-4DAB-9E41-BE4A7666EBA5}" autoFormatId="16" applyNumberFormats="0" applyBorderFormats="0" applyFontFormats="0" applyPatternFormats="0" applyAlignmentFormats="0" applyWidthHeightFormats="0">
  <queryTableRefresh nextId="12" unboundColumnsRight="1">
    <queryTableFields count="11">
      <queryTableField id="1" name="Date 1" tableColumnId="1"/>
      <queryTableField id="2" name="Region" tableColumnId="2"/>
      <queryTableField id="3" name="Product" tableColumnId="3"/>
      <queryTableField id="4" name="Category" tableColumnId="4"/>
      <queryTableField id="5" name="Units Sold" tableColumnId="5"/>
      <queryTableField id="6" name="Unit Price" tableColumnId="6"/>
      <queryTableField id="7" name="Sales Rep" tableColumnId="7"/>
      <queryTableField id="8" name="Customer" tableColumnId="8"/>
      <queryTableField id="10" name="Month" tableColumnId="10"/>
      <queryTableField id="11" name="Date 1 - Copy" tableColumnId="11"/>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21FD1C-8A44-48C5-B6C5-36A3DCCC9BD2}" sourceName="[Table1_1].[Category]">
  <pivotTables>
    <pivotTable tabId="8" name="PivotTable19"/>
    <pivotTable tabId="8" name="PivotTable17"/>
    <pivotTable tabId="8" name="PivotTable18"/>
    <pivotTable tabId="8" name="PivotTable20"/>
    <pivotTable tabId="8" name="PivotTable22"/>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Category].[(All)]" sourceCaption="(All)" count="0"/>
        <level uniqueName="[Table1_1].[Category].[Category]" sourceCaption="Category" count="6">
          <ranges>
            <range startItem="0">
              <i n="[Table1_1].[Category].&amp;[Audio]" c="Audio"/>
              <i n="[Table1_1].[Category].&amp;[Computers]" c="Computers"/>
              <i n="[Table1_1].[Category].&amp;[Electronics]" c="Electronics"/>
              <i n="[Table1_1].[Category].&amp;[Mobile]" c="Mobile"/>
              <i n="[Table1_1].[Category].&amp;[Peripherals]" c="Peripherals"/>
              <i n="[Table1_1].[Category].&amp;[Photography]" c="Photography"/>
            </range>
          </ranges>
        </level>
      </levels>
      <selections count="1">
        <selection n="[Table1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390ABB0-5DD0-4174-A74D-59DA95AF0452}" sourceName="[Table1_1].[Month]">
  <pivotTables>
    <pivotTable tabId="8" name="PivotTable19"/>
    <pivotTable tabId="8" name="PivotTable17"/>
    <pivotTable tabId="8" name="PivotTable18"/>
    <pivotTable tabId="8" name="PivotTable20"/>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Month].[(All)]" sourceCaption="(All)" count="0"/>
        <level uniqueName="[Table1_1].[Month].[Month]" sourceCaption="Month" count="6" sortOrder="ascending">
          <ranges>
            <range startItem="0">
              <i n="[Table1_1].[Month].&amp;[April]" c="April"/>
              <i n="[Table1_1].[Month].&amp;[February]" c="February"/>
              <i n="[Table1_1].[Month].&amp;[January]" c="January"/>
              <i n="[Table1_1].[Month].&amp;[June]" c="June"/>
              <i n="[Table1_1].[Month].&amp;[March]" c="March"/>
              <i n="[Table1_1].[Month].&amp;[May]" c="May"/>
            </range>
          </ranges>
        </level>
      </levels>
      <selections count="1">
        <selection n="[Table1_1].[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4A37673-E9E1-4DAA-9A97-5373D9B06F15}" sourceName="[Table1_1].[Date 1 - Copy]">
  <pivotTables>
    <pivotTable tabId="8" name="PivotTable19"/>
    <pivotTable tabId="8" name="PivotTable17"/>
    <pivotTable tabId="8" name="PivotTable18"/>
    <pivotTable tabId="8" name="PivotTable20"/>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Date 1 - Copy].[(All)]" sourceCaption="(All)" count="0"/>
        <level uniqueName="[Table1_1].[Date 1 - Copy].[Date 1 - Copy]" sourceCaption="Date 1 - Copy" count="7">
          <ranges>
            <range startItem="0">
              <i n="[Table1_1].[Date 1 - Copy].&amp;[Friday]" c="Friday"/>
              <i n="[Table1_1].[Date 1 - Copy].&amp;[Monday]" c="Monday"/>
              <i n="[Table1_1].[Date 1 - Copy].&amp;[Saturday]" c="Saturday"/>
              <i n="[Table1_1].[Date 1 - Copy].&amp;[Sunday]" c="Sunday"/>
              <i n="[Table1_1].[Date 1 - Copy].&amp;[Thursday]" c="Thursday"/>
              <i n="[Table1_1].[Date 1 - Copy].&amp;[Tuesday]" c="Tuesday"/>
              <i n="[Table1_1].[Date 1 - Copy].&amp;[Wednesday]" c="Wednesday"/>
            </range>
          </ranges>
        </level>
      </levels>
      <selections count="1">
        <selection n="[Table1_1].[Date 1 - Cop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1D92EDC-8D4C-475C-95FA-4C89EAFC726C}" sourceName="[Table1_1].[Product]">
  <pivotTables>
    <pivotTable tabId="8" name="PivotTable19"/>
    <pivotTable tabId="8" name="PivotTable17"/>
    <pivotTable tabId="8" name="PivotTable18"/>
    <pivotTable tabId="8" name="PivotTable20"/>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Product].[(All)]" sourceCaption="(All)" count="0"/>
        <level uniqueName="[Table1_1].[Product].[Product]" sourceCaption="Product" count="7">
          <ranges>
            <range startItem="0">
              <i n="[Table1_1].[Product].&amp;[Camera C100]" c="Camera C100"/>
              <i n="[Table1_1].[Product].&amp;[Laptop  A15]" c="Laptop  A15"/>
              <i n="[Table1_1].[Product].&amp;[Monitor M24]" c="Monitor M24"/>
              <i n="[Table1_1].[Product].&amp;[Phone X12]" c="Phone X12"/>
              <i n="[Table1_1].[Product].&amp;[Speaker S10]" c="Speaker S10"/>
              <i n="[Table1_1].[Product].&amp;[Tablet  T8]" c="Tablet  T8"/>
              <i n="[Table1_1].[Product].&amp;[Tv 43Q]" c="Tv 43Q"/>
            </range>
          </ranges>
        </level>
      </levels>
      <selections count="1">
        <selection n="[Table1_1].[Produ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9D50FD-590E-4C6F-BD54-CA882460E844}" sourceName="[Table1_1].[Region]">
  <pivotTables>
    <pivotTable tabId="8" name="PivotTable19"/>
    <pivotTable tabId="8" name="PivotTable17"/>
    <pivotTable tabId="8" name="PivotTable18"/>
    <pivotTable tabId="8" name="PivotTable20"/>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Region].[(All)]" sourceCaption="(All)" count="0"/>
        <level uniqueName="[Table1_1].[Region].[Region]" sourceCaption="Region" count="4">
          <ranges>
            <range startItem="0">
              <i n="[Table1_1].[Region].&amp;[East]" c="East"/>
              <i n="[Table1_1].[Region].&amp;[North]" c="North"/>
              <i n="[Table1_1].[Region].&amp;[South]" c="South"/>
              <i n="[Table1_1].[Region].&amp;[West]" c="West"/>
            </range>
          </ranges>
        </level>
      </levels>
      <selections count="1">
        <selection n="[Table1_1].[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291E35B-D4CC-441F-A260-8897DE0F0405}" sourceName="[Table1_1].[Sales Rep]">
  <pivotTables>
    <pivotTable tabId="8" name="PivotTable19"/>
    <pivotTable tabId="8" name="PivotTable17"/>
    <pivotTable tabId="8" name="PivotTable18"/>
    <pivotTable tabId="8" name="PivotTable20"/>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Sales Rep].[(All)]" sourceCaption="(All)" count="0"/>
        <level uniqueName="[Table1_1].[Sales Rep].[Sales Rep]" sourceCaption="Sales Rep" count="10">
          <ranges>
            <range startItem="0">
              <i n="[Table1_1].[Sales Rep].&amp;[Aba Joel]" c="Aba Joel"/>
              <i n="[Table1_1].[Sales Rep].&amp;[Aisha Bello]" c="Aisha Bello"/>
              <i n="[Table1_1].[Sales Rep].&amp;[Chinedu Nwosu]" c="Chinedu Nwosu"/>
              <i n="[Table1_1].[Sales Rep].&amp;[Fola Balogun]" c="Fola Balogun"/>
              <i n="[Table1_1].[Sales Rep].&amp;[Grace Amos]" c="Grace Amos"/>
              <i n="[Table1_1].[Sales Rep].&amp;[Ifeanyi Okafor]" c="Ifeanyi Okafor"/>
              <i n="[Table1_1].[Sales Rep].&amp;[Job Austin]" c="Job Austin"/>
              <i n="[Table1_1].[Sales Rep].&amp;[Mary John]" c="Mary John"/>
              <i n="[Table1_1].[Sales Rep].&amp;[Peter Obi]" c="Peter Obi"/>
              <i n="[Table1_1].[Sales Rep].&amp;[Praise Odunayo]" c="Praise Odunayo"/>
            </range>
          </ranges>
        </level>
      </levels>
      <selections count="1">
        <selection n="[Table1_1].[Sales Rep].[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7F6B9797-C08E-455F-8B10-BB3BC733C292}" sourceName="[Table1_1].[Customer]">
  <pivotTables>
    <pivotTable tabId="8" name="PivotTable19"/>
    <pivotTable tabId="8" name="PivotTable17"/>
    <pivotTable tabId="8" name="PivotTable18"/>
    <pivotTable tabId="8" name="PivotTable22"/>
    <pivotTable tabId="8" name="PivotTable24"/>
    <pivotTable tabId="8" name="PivotTable25"/>
    <pivotTable tabId="8" name="PivotTable26"/>
    <pivotTable tabId="8" name="PivotTable27"/>
    <pivotTable tabId="8" name="PivotTable28"/>
    <pivotTable tabId="8" name="PivotTable29"/>
    <pivotTable tabId="8" name="PivotTable31"/>
    <pivotTable tabId="8" name="PivotTable4"/>
  </pivotTables>
  <data>
    <olap pivotCacheId="941592878">
      <levels count="2">
        <level uniqueName="[Table1_1].[Customer].[(All)]" sourceCaption="(All)" count="0"/>
        <level uniqueName="[Table1_1].[Customer].[Customer]" sourceCaption="Customer" count="14">
          <ranges>
            <range startItem="0">
              <i n="[Table1_1].[Customer].&amp;[Adewales Stores]" c="Adewales Stores"/>
              <i n="[Table1_1].[Customer].&amp;[Alpha Retailers]" c="Alpha Retailers"/>
              <i n="[Table1_1].[Customer].&amp;[Bright Solutions]" c="Bright Solutions"/>
              <i n="[Table1_1].[Customer].&amp;[Chika Mart]" c="Chika Mart"/>
              <i n="[Table1_1].[Customer].&amp;[Emeka Traders]" c="Emeka Traders"/>
              <i n="[Table1_1].[Customer].&amp;[Femi Tech]" c="Femi Tech"/>
              <i n="[Table1_1].[Customer].&amp;[Jide Superstores]" c="Jide Superstores"/>
              <i n="[Table1_1].[Customer].&amp;[Kelvin Tech]" c="Kelvin Tech"/>
              <i n="[Table1_1].[Customer].&amp;[Maryam Ltd]" c="Maryam Ltd"/>
              <i n="[Table1_1].[Customer].&amp;[Musa Enterprises]" c="Musa Enterprises"/>
              <i n="[Table1_1].[Customer].&amp;[Omega Wholesale]" c="Omega Wholesale"/>
              <i n="[Table1_1].[Customer].&amp;[Tola Ventures]" c="Tola Ventures"/>
              <i n="[Table1_1].[Customer].&amp;[Tope &amp; Sons]" c="Tope &amp; Sons"/>
              <i n="[Table1_1].[Customer].&amp;[Zainab Global]" c="Zainab Global"/>
            </range>
          </ranges>
        </level>
      </levels>
      <selections count="1">
        <selection n="[Table1_1].[Custom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DF616E1-7FE6-44A4-A51A-879E7B5FDD56}" cache="Slicer_Category" caption="Category" level="1" style="Months" rowHeight="251883"/>
  <slicer name="Month" xr10:uid="{D5EC2C0C-5C15-49F5-A73F-9C928D592770}" cache="Slicer_Month" caption="Month" level="1" style="Months" rowHeight="251883"/>
  <slicer name="Day" xr10:uid="{A78FEBC8-9499-491E-AE06-F584BC13B5C7}" cache="Slicer_Day" caption="Day" level="1" style="Months" rowHeight="251883"/>
  <slicer name="Product" xr10:uid="{AD616331-4CBF-40E4-ACA2-869B15A5AB84}" cache="Slicer_Product" caption="Product" level="1" style="Months" rowHeight="251883"/>
  <slicer name="Region" xr10:uid="{D9EE2FEF-9D4D-442D-909B-AC7B5B37A4B0}" cache="Slicer_Region" caption="Region" level="1" style="Months" rowHeight="251883"/>
  <slicer name="Sales Rep" xr10:uid="{653A3918-09A6-4311-A125-A27F405C4AC0}" cache="Slicer_Sales_Rep" caption="Sales Rep" level="1" style="Months" rowHeight="251883"/>
  <slicer name="Customer" xr10:uid="{BCC14A3C-2218-424B-A777-9C4AA8CB0536}" cache="Slicer_Customer" caption="Customer" level="1" style="Month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A0373CA-DE62-4BF5-A745-1A829FEB035E}" cache="Slicer_Category" caption="Category" level="1" style="Months" rowHeight="251883"/>
  <slicer name="Month 1" xr10:uid="{D7F69147-F37E-4074-9FDE-205747F115C0}" cache="Slicer_Month" caption="Month" level="1" style="Months" rowHeight="251883"/>
  <slicer name="Day 1" xr10:uid="{126D687E-8E2F-4D94-8EDF-EA7B77B8F70D}" cache="Slicer_Day" caption="Day" level="1" style="Months" rowHeight="251883"/>
  <slicer name="Product 1" xr10:uid="{CAB831DC-EE3D-4E58-A5D7-24C07591824F}" cache="Slicer_Product" caption="Product" level="1" style="Months" rowHeight="251883"/>
  <slicer name="Region 1" xr10:uid="{4F6E0D59-A73A-4073-8238-C9280326AB06}" cache="Slicer_Region" caption="Region" level="1" style="Months" rowHeight="251883"/>
  <slicer name="Sales Rep 1" xr10:uid="{F353CA61-CA83-40BD-A811-764DA9CD74BD}" cache="Slicer_Sales_Rep" caption="Sales Rep" level="1" style="Months" rowHeight="251883"/>
  <slicer name="Customer 1" xr10:uid="{5910D557-ADC5-4FE0-9E14-A38175F13EF1}" cache="Slicer_Customer" caption="Customer" level="1" style="Month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42543-E43A-4D23-933A-F0C07D09C81C}" name="Table1_1" displayName="Table1_1" ref="A1:K101" tableType="queryTable" totalsRowShown="0">
  <autoFilter ref="A1:K101" xr:uid="{A2D42543-E43A-4D23-933A-F0C07D09C81C}"/>
  <tableColumns count="11">
    <tableColumn id="1" xr3:uid="{9596A4E6-3646-4445-AFCE-33E51A6A6D4E}" uniqueName="1" name="Date 1" queryTableFieldId="1" dataDxfId="18"/>
    <tableColumn id="2" xr3:uid="{E26BA918-7CEA-4DEF-AC09-7F24F1F8F3A6}" uniqueName="2" name="Region" queryTableFieldId="2" dataDxfId="17"/>
    <tableColumn id="3" xr3:uid="{ED2A6DD4-7DB6-4B66-A436-ECCD9D4CEBD5}" uniqueName="3" name="Product" queryTableFieldId="3" dataDxfId="16"/>
    <tableColumn id="4" xr3:uid="{C67A2A91-D436-4ACF-9A24-A69531675118}" uniqueName="4" name="Category" queryTableFieldId="4" dataDxfId="15"/>
    <tableColumn id="5" xr3:uid="{F0C38ECA-40A0-4760-A577-A08E1F24BED7}" uniqueName="5" name="Units Sold" queryTableFieldId="5"/>
    <tableColumn id="6" xr3:uid="{ACA1DBFC-446D-4837-A434-94086DA80FA6}" uniqueName="6" name="Unit Price" queryTableFieldId="6"/>
    <tableColumn id="7" xr3:uid="{C00E7A39-40A3-4FA4-AC64-A4DCA62EF4A7}" uniqueName="7" name="Sales Rep" queryTableFieldId="7" dataDxfId="14"/>
    <tableColumn id="8" xr3:uid="{EDE78AC0-3FB8-41FF-8747-AA9F03C05465}" uniqueName="8" name="Customer" queryTableFieldId="8" dataDxfId="13"/>
    <tableColumn id="10" xr3:uid="{5D864469-17E6-49C0-B4F3-B9A165738E11}" uniqueName="10" name="Month" queryTableFieldId="10" dataDxfId="12"/>
    <tableColumn id="11" xr3:uid="{B7EC89B4-3F4F-4861-9129-B82A2AC9041E}" uniqueName="11" name="Date 1 - Copy" queryTableFieldId="11" dataDxfId="11"/>
    <tableColumn id="9" xr3:uid="{5F665097-2840-47D7-9169-8B1F9198F941}" uniqueName="9" name="Column1" queryTableFieldId="9" dataDxfId="10">
      <calculatedColumnFormula>Table1_1[[#This Row],[Units Sold]]*Table1_1[[#This Row],[Unit 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D8E00-C242-4DD2-9800-9447B040731D}">
  <dimension ref="A1:K101"/>
  <sheetViews>
    <sheetView workbookViewId="0">
      <selection activeCell="G108" sqref="G108"/>
    </sheetView>
  </sheetViews>
  <sheetFormatPr defaultRowHeight="14.5" x14ac:dyDescent="0.35"/>
  <cols>
    <col min="1" max="1" width="9.08984375" bestFit="1" customWidth="1"/>
    <col min="2" max="2" width="8.81640625" bestFit="1" customWidth="1"/>
    <col min="3" max="3" width="11.90625" bestFit="1" customWidth="1"/>
    <col min="4" max="4" width="10.90625" bestFit="1" customWidth="1"/>
    <col min="5" max="5" width="11.6328125" bestFit="1" customWidth="1"/>
    <col min="6" max="6" width="11.26953125" bestFit="1" customWidth="1"/>
    <col min="7" max="7" width="13.54296875" bestFit="1" customWidth="1"/>
    <col min="8" max="8" width="15.54296875" bestFit="1" customWidth="1"/>
    <col min="9" max="9" width="8.36328125" bestFit="1" customWidth="1"/>
    <col min="10" max="10" width="14" bestFit="1" customWidth="1"/>
    <col min="11" max="11" width="10.7265625" bestFit="1" customWidth="1"/>
  </cols>
  <sheetData>
    <row r="1" spans="1:11" x14ac:dyDescent="0.35">
      <c r="A1" t="s">
        <v>65</v>
      </c>
      <c r="B1" t="s">
        <v>0</v>
      </c>
      <c r="C1" t="s">
        <v>1</v>
      </c>
      <c r="D1" t="s">
        <v>2</v>
      </c>
      <c r="E1" t="s">
        <v>3</v>
      </c>
      <c r="F1" t="s">
        <v>4</v>
      </c>
      <c r="G1" t="s">
        <v>5</v>
      </c>
      <c r="H1" t="s">
        <v>6</v>
      </c>
      <c r="I1" t="s">
        <v>77</v>
      </c>
      <c r="J1" t="s">
        <v>78</v>
      </c>
      <c r="K1" t="s">
        <v>70</v>
      </c>
    </row>
    <row r="2" spans="1:11" x14ac:dyDescent="0.35">
      <c r="A2" s="1">
        <v>45821</v>
      </c>
      <c r="B2" t="s">
        <v>10</v>
      </c>
      <c r="C2" t="s">
        <v>11</v>
      </c>
      <c r="D2" t="s">
        <v>12</v>
      </c>
      <c r="E2">
        <v>8</v>
      </c>
      <c r="F2">
        <v>2500000</v>
      </c>
      <c r="G2" t="s">
        <v>13</v>
      </c>
      <c r="H2" t="s">
        <v>14</v>
      </c>
      <c r="I2" t="s">
        <v>8</v>
      </c>
      <c r="J2" t="s">
        <v>9</v>
      </c>
      <c r="K2">
        <f>Table1_1[[#This Row],[Units Sold]]*Table1_1[[#This Row],[Unit Price]]</f>
        <v>20000000</v>
      </c>
    </row>
    <row r="3" spans="1:11" x14ac:dyDescent="0.35">
      <c r="A3" s="1">
        <v>45755</v>
      </c>
      <c r="B3" t="s">
        <v>17</v>
      </c>
      <c r="C3" t="s">
        <v>33</v>
      </c>
      <c r="D3" t="s">
        <v>18</v>
      </c>
      <c r="E3">
        <v>6</v>
      </c>
      <c r="F3">
        <v>350000</v>
      </c>
      <c r="G3" t="s">
        <v>19</v>
      </c>
      <c r="H3" t="s">
        <v>20</v>
      </c>
      <c r="I3" t="s">
        <v>15</v>
      </c>
      <c r="J3" t="s">
        <v>16</v>
      </c>
      <c r="K3">
        <f>Table1_1[[#This Row],[Units Sold]]*Table1_1[[#This Row],[Unit Price]]</f>
        <v>2100000</v>
      </c>
    </row>
    <row r="4" spans="1:11" x14ac:dyDescent="0.35">
      <c r="A4" s="1">
        <v>45686</v>
      </c>
      <c r="B4" t="s">
        <v>23</v>
      </c>
      <c r="C4" t="s">
        <v>24</v>
      </c>
      <c r="D4" t="s">
        <v>25</v>
      </c>
      <c r="E4">
        <v>14</v>
      </c>
      <c r="F4">
        <v>180000</v>
      </c>
      <c r="G4" t="s">
        <v>26</v>
      </c>
      <c r="H4" t="s">
        <v>27</v>
      </c>
      <c r="I4" t="s">
        <v>21</v>
      </c>
      <c r="J4" t="s">
        <v>22</v>
      </c>
      <c r="K4">
        <f>Table1_1[[#This Row],[Units Sold]]*Table1_1[[#This Row],[Unit Price]]</f>
        <v>2520000</v>
      </c>
    </row>
    <row r="5" spans="1:11" x14ac:dyDescent="0.35">
      <c r="A5" s="1">
        <v>45794</v>
      </c>
      <c r="B5" t="s">
        <v>10</v>
      </c>
      <c r="C5" t="s">
        <v>35</v>
      </c>
      <c r="D5" t="s">
        <v>30</v>
      </c>
      <c r="E5">
        <v>18</v>
      </c>
      <c r="F5">
        <v>65000</v>
      </c>
      <c r="G5" t="s">
        <v>19</v>
      </c>
      <c r="H5" t="s">
        <v>56</v>
      </c>
      <c r="I5" t="s">
        <v>28</v>
      </c>
      <c r="J5" t="s">
        <v>29</v>
      </c>
      <c r="K5">
        <f>Table1_1[[#This Row],[Units Sold]]*Table1_1[[#This Row],[Unit Price]]</f>
        <v>1170000</v>
      </c>
    </row>
    <row r="6" spans="1:11" x14ac:dyDescent="0.35">
      <c r="A6" s="1">
        <v>45685</v>
      </c>
      <c r="B6" t="s">
        <v>31</v>
      </c>
      <c r="C6" t="s">
        <v>24</v>
      </c>
      <c r="D6" t="s">
        <v>25</v>
      </c>
      <c r="E6">
        <v>5</v>
      </c>
      <c r="F6">
        <v>180000</v>
      </c>
      <c r="G6" t="s">
        <v>13</v>
      </c>
      <c r="H6" t="s">
        <v>55</v>
      </c>
      <c r="I6" t="s">
        <v>21</v>
      </c>
      <c r="J6" t="s">
        <v>16</v>
      </c>
      <c r="K6">
        <f>Table1_1[[#This Row],[Units Sold]]*Table1_1[[#This Row],[Unit Price]]</f>
        <v>900000</v>
      </c>
    </row>
    <row r="7" spans="1:11" x14ac:dyDescent="0.35">
      <c r="A7" s="1">
        <v>45803</v>
      </c>
      <c r="B7" t="s">
        <v>17</v>
      </c>
      <c r="C7" t="s">
        <v>24</v>
      </c>
      <c r="D7" t="s">
        <v>25</v>
      </c>
      <c r="E7">
        <v>19</v>
      </c>
      <c r="F7">
        <v>157427</v>
      </c>
      <c r="G7" t="s">
        <v>19</v>
      </c>
      <c r="H7" t="s">
        <v>20</v>
      </c>
      <c r="I7" t="s">
        <v>28</v>
      </c>
      <c r="J7" t="s">
        <v>32</v>
      </c>
      <c r="K7">
        <f>Table1_1[[#This Row],[Units Sold]]*Table1_1[[#This Row],[Unit Price]]</f>
        <v>2991113</v>
      </c>
    </row>
    <row r="8" spans="1:11" x14ac:dyDescent="0.35">
      <c r="A8" s="1">
        <v>45783</v>
      </c>
      <c r="B8" t="s">
        <v>31</v>
      </c>
      <c r="C8" t="s">
        <v>33</v>
      </c>
      <c r="D8" t="s">
        <v>18</v>
      </c>
      <c r="E8">
        <v>3</v>
      </c>
      <c r="F8">
        <v>350000</v>
      </c>
      <c r="G8" t="s">
        <v>40</v>
      </c>
      <c r="H8" t="s">
        <v>55</v>
      </c>
      <c r="I8" t="s">
        <v>28</v>
      </c>
      <c r="J8" t="s">
        <v>16</v>
      </c>
      <c r="K8">
        <f>Table1_1[[#This Row],[Units Sold]]*Table1_1[[#This Row],[Unit Price]]</f>
        <v>1050000</v>
      </c>
    </row>
    <row r="9" spans="1:11" x14ac:dyDescent="0.35">
      <c r="A9" s="1">
        <v>45698</v>
      </c>
      <c r="B9" t="s">
        <v>31</v>
      </c>
      <c r="C9" t="s">
        <v>35</v>
      </c>
      <c r="D9" t="s">
        <v>30</v>
      </c>
      <c r="E9">
        <v>2</v>
      </c>
      <c r="F9">
        <v>65000</v>
      </c>
      <c r="G9" t="s">
        <v>13</v>
      </c>
      <c r="H9" t="s">
        <v>20</v>
      </c>
      <c r="I9" t="s">
        <v>34</v>
      </c>
      <c r="J9" t="s">
        <v>32</v>
      </c>
      <c r="K9">
        <f>Table1_1[[#This Row],[Units Sold]]*Table1_1[[#This Row],[Unit Price]]</f>
        <v>130000</v>
      </c>
    </row>
    <row r="10" spans="1:11" x14ac:dyDescent="0.35">
      <c r="A10" s="1">
        <v>45689</v>
      </c>
      <c r="B10" t="s">
        <v>17</v>
      </c>
      <c r="C10" t="s">
        <v>36</v>
      </c>
      <c r="D10" t="s">
        <v>37</v>
      </c>
      <c r="E10">
        <v>14</v>
      </c>
      <c r="F10">
        <v>175000</v>
      </c>
      <c r="G10" t="s">
        <v>26</v>
      </c>
      <c r="H10" t="s">
        <v>14</v>
      </c>
      <c r="I10" t="s">
        <v>34</v>
      </c>
      <c r="J10" t="s">
        <v>29</v>
      </c>
      <c r="K10">
        <f>Table1_1[[#This Row],[Units Sold]]*Table1_1[[#This Row],[Unit Price]]</f>
        <v>2450000</v>
      </c>
    </row>
    <row r="11" spans="1:11" x14ac:dyDescent="0.35">
      <c r="A11" s="1">
        <v>45836</v>
      </c>
      <c r="B11" t="s">
        <v>31</v>
      </c>
      <c r="C11" t="s">
        <v>66</v>
      </c>
      <c r="D11" t="s">
        <v>25</v>
      </c>
      <c r="E11">
        <v>4</v>
      </c>
      <c r="F11">
        <v>150000</v>
      </c>
      <c r="G11" t="s">
        <v>13</v>
      </c>
      <c r="H11" t="s">
        <v>38</v>
      </c>
      <c r="I11" t="s">
        <v>8</v>
      </c>
      <c r="J11" t="s">
        <v>29</v>
      </c>
      <c r="K11">
        <f>Table1_1[[#This Row],[Units Sold]]*Table1_1[[#This Row],[Unit Price]]</f>
        <v>600000</v>
      </c>
    </row>
    <row r="12" spans="1:11" x14ac:dyDescent="0.35">
      <c r="A12" s="1">
        <v>45765</v>
      </c>
      <c r="B12" t="s">
        <v>10</v>
      </c>
      <c r="C12" t="s">
        <v>66</v>
      </c>
      <c r="D12" t="s">
        <v>25</v>
      </c>
      <c r="E12">
        <v>20</v>
      </c>
      <c r="F12">
        <v>150000</v>
      </c>
      <c r="G12" t="s">
        <v>26</v>
      </c>
      <c r="H12" t="s">
        <v>20</v>
      </c>
      <c r="I12" t="s">
        <v>15</v>
      </c>
      <c r="J12" t="s">
        <v>9</v>
      </c>
      <c r="K12">
        <f>Table1_1[[#This Row],[Units Sold]]*Table1_1[[#This Row],[Unit Price]]</f>
        <v>3000000</v>
      </c>
    </row>
    <row r="13" spans="1:11" x14ac:dyDescent="0.35">
      <c r="A13" s="1">
        <v>45713</v>
      </c>
      <c r="B13" t="s">
        <v>23</v>
      </c>
      <c r="C13" t="s">
        <v>44</v>
      </c>
      <c r="D13" t="s">
        <v>39</v>
      </c>
      <c r="E13">
        <v>6</v>
      </c>
      <c r="F13">
        <v>85000</v>
      </c>
      <c r="G13" t="s">
        <v>40</v>
      </c>
      <c r="H13" t="s">
        <v>41</v>
      </c>
      <c r="I13" t="s">
        <v>34</v>
      </c>
      <c r="J13" t="s">
        <v>16</v>
      </c>
      <c r="K13">
        <f>Table1_1[[#This Row],[Units Sold]]*Table1_1[[#This Row],[Unit Price]]</f>
        <v>510000</v>
      </c>
    </row>
    <row r="14" spans="1:11" x14ac:dyDescent="0.35">
      <c r="A14" s="1">
        <v>45776</v>
      </c>
      <c r="B14" t="s">
        <v>31</v>
      </c>
      <c r="C14" t="s">
        <v>66</v>
      </c>
      <c r="D14" t="s">
        <v>25</v>
      </c>
      <c r="E14">
        <v>1</v>
      </c>
      <c r="F14">
        <v>150000</v>
      </c>
      <c r="G14" t="s">
        <v>40</v>
      </c>
      <c r="H14" t="s">
        <v>42</v>
      </c>
      <c r="I14" t="s">
        <v>15</v>
      </c>
      <c r="J14" t="s">
        <v>16</v>
      </c>
      <c r="K14">
        <f>Table1_1[[#This Row],[Units Sold]]*Table1_1[[#This Row],[Unit Price]]</f>
        <v>150000</v>
      </c>
    </row>
    <row r="15" spans="1:11" x14ac:dyDescent="0.35">
      <c r="A15" s="1">
        <v>45690</v>
      </c>
      <c r="B15" t="s">
        <v>17</v>
      </c>
      <c r="C15" t="s">
        <v>33</v>
      </c>
      <c r="D15" t="s">
        <v>18</v>
      </c>
      <c r="E15">
        <v>18</v>
      </c>
      <c r="F15">
        <v>35000</v>
      </c>
      <c r="G15" t="s">
        <v>46</v>
      </c>
      <c r="H15" t="s">
        <v>49</v>
      </c>
      <c r="I15" t="s">
        <v>34</v>
      </c>
      <c r="J15" t="s">
        <v>43</v>
      </c>
      <c r="K15">
        <f>Table1_1[[#This Row],[Units Sold]]*Table1_1[[#This Row],[Unit Price]]</f>
        <v>630000</v>
      </c>
    </row>
    <row r="16" spans="1:11" x14ac:dyDescent="0.35">
      <c r="A16" s="1">
        <v>45762</v>
      </c>
      <c r="B16" t="s">
        <v>10</v>
      </c>
      <c r="C16" t="s">
        <v>44</v>
      </c>
      <c r="D16" t="s">
        <v>39</v>
      </c>
      <c r="E16">
        <v>2</v>
      </c>
      <c r="F16">
        <v>85000</v>
      </c>
      <c r="G16" t="s">
        <v>19</v>
      </c>
      <c r="H16" t="s">
        <v>14</v>
      </c>
      <c r="I16" t="s">
        <v>15</v>
      </c>
      <c r="J16" t="s">
        <v>16</v>
      </c>
      <c r="K16">
        <f>Table1_1[[#This Row],[Units Sold]]*Table1_1[[#This Row],[Unit Price]]</f>
        <v>170000</v>
      </c>
    </row>
    <row r="17" spans="1:11" x14ac:dyDescent="0.35">
      <c r="A17" s="1">
        <v>45820</v>
      </c>
      <c r="B17" t="s">
        <v>17</v>
      </c>
      <c r="C17" t="s">
        <v>35</v>
      </c>
      <c r="D17" t="s">
        <v>30</v>
      </c>
      <c r="E17">
        <v>11</v>
      </c>
      <c r="F17">
        <v>62035</v>
      </c>
      <c r="G17" t="s">
        <v>46</v>
      </c>
      <c r="H17" t="s">
        <v>57</v>
      </c>
      <c r="I17" t="s">
        <v>8</v>
      </c>
      <c r="J17" t="s">
        <v>45</v>
      </c>
      <c r="K17">
        <f>Table1_1[[#This Row],[Units Sold]]*Table1_1[[#This Row],[Unit Price]]</f>
        <v>682385</v>
      </c>
    </row>
    <row r="18" spans="1:11" x14ac:dyDescent="0.35">
      <c r="A18" s="1">
        <v>45688</v>
      </c>
      <c r="B18" t="s">
        <v>17</v>
      </c>
      <c r="C18" t="s">
        <v>36</v>
      </c>
      <c r="D18" t="s">
        <v>37</v>
      </c>
      <c r="E18">
        <v>10</v>
      </c>
      <c r="F18">
        <v>175000</v>
      </c>
      <c r="G18" t="s">
        <v>26</v>
      </c>
      <c r="H18" t="s">
        <v>41</v>
      </c>
      <c r="I18" t="s">
        <v>21</v>
      </c>
      <c r="J18" t="s">
        <v>9</v>
      </c>
      <c r="K18">
        <f>Table1_1[[#This Row],[Units Sold]]*Table1_1[[#This Row],[Unit Price]]</f>
        <v>1750000</v>
      </c>
    </row>
    <row r="19" spans="1:11" x14ac:dyDescent="0.35">
      <c r="A19" s="1">
        <v>45690</v>
      </c>
      <c r="B19" t="s">
        <v>31</v>
      </c>
      <c r="C19" t="s">
        <v>66</v>
      </c>
      <c r="D19" t="s">
        <v>25</v>
      </c>
      <c r="E19">
        <v>4</v>
      </c>
      <c r="F19">
        <v>150000</v>
      </c>
      <c r="G19" t="s">
        <v>53</v>
      </c>
      <c r="H19" t="s">
        <v>56</v>
      </c>
      <c r="I19" t="s">
        <v>34</v>
      </c>
      <c r="J19" t="s">
        <v>43</v>
      </c>
      <c r="K19">
        <f>Table1_1[[#This Row],[Units Sold]]*Table1_1[[#This Row],[Unit Price]]</f>
        <v>600000</v>
      </c>
    </row>
    <row r="20" spans="1:11" x14ac:dyDescent="0.35">
      <c r="A20" s="1">
        <v>45802</v>
      </c>
      <c r="B20" t="s">
        <v>31</v>
      </c>
      <c r="C20" t="s">
        <v>36</v>
      </c>
      <c r="D20" t="s">
        <v>37</v>
      </c>
      <c r="E20">
        <v>3</v>
      </c>
      <c r="F20">
        <v>175000</v>
      </c>
      <c r="G20" t="s">
        <v>48</v>
      </c>
      <c r="H20" t="s">
        <v>47</v>
      </c>
      <c r="I20" t="s">
        <v>28</v>
      </c>
      <c r="J20" t="s">
        <v>43</v>
      </c>
      <c r="K20">
        <f>Table1_1[[#This Row],[Units Sold]]*Table1_1[[#This Row],[Unit Price]]</f>
        <v>525000</v>
      </c>
    </row>
    <row r="21" spans="1:11" x14ac:dyDescent="0.35">
      <c r="A21" s="1">
        <v>45714</v>
      </c>
      <c r="B21" t="s">
        <v>23</v>
      </c>
      <c r="C21" t="s">
        <v>36</v>
      </c>
      <c r="D21" t="s">
        <v>37</v>
      </c>
      <c r="E21">
        <v>5</v>
      </c>
      <c r="F21">
        <v>175000</v>
      </c>
      <c r="G21" t="s">
        <v>46</v>
      </c>
      <c r="H21" t="s">
        <v>47</v>
      </c>
      <c r="I21" t="s">
        <v>34</v>
      </c>
      <c r="J21" t="s">
        <v>22</v>
      </c>
      <c r="K21">
        <f>Table1_1[[#This Row],[Units Sold]]*Table1_1[[#This Row],[Unit Price]]</f>
        <v>875000</v>
      </c>
    </row>
    <row r="22" spans="1:11" x14ac:dyDescent="0.35">
      <c r="A22" s="1">
        <v>45753</v>
      </c>
      <c r="B22" t="s">
        <v>17</v>
      </c>
      <c r="C22" t="s">
        <v>11</v>
      </c>
      <c r="D22" t="s">
        <v>12</v>
      </c>
      <c r="E22">
        <v>20</v>
      </c>
      <c r="F22">
        <v>250000</v>
      </c>
      <c r="G22" t="s">
        <v>48</v>
      </c>
      <c r="H22" t="s">
        <v>20</v>
      </c>
      <c r="I22" t="s">
        <v>15</v>
      </c>
      <c r="J22" t="s">
        <v>43</v>
      </c>
      <c r="K22">
        <f>Table1_1[[#This Row],[Units Sold]]*Table1_1[[#This Row],[Unit Price]]</f>
        <v>5000000</v>
      </c>
    </row>
    <row r="23" spans="1:11" x14ac:dyDescent="0.35">
      <c r="A23" s="1">
        <v>45712</v>
      </c>
      <c r="B23" t="s">
        <v>17</v>
      </c>
      <c r="C23" t="s">
        <v>36</v>
      </c>
      <c r="D23" t="s">
        <v>37</v>
      </c>
      <c r="E23">
        <v>2</v>
      </c>
      <c r="F23">
        <v>175000</v>
      </c>
      <c r="G23" t="s">
        <v>13</v>
      </c>
      <c r="H23" t="s">
        <v>49</v>
      </c>
      <c r="I23" t="s">
        <v>34</v>
      </c>
      <c r="J23" t="s">
        <v>32</v>
      </c>
      <c r="K23">
        <f>Table1_1[[#This Row],[Units Sold]]*Table1_1[[#This Row],[Unit Price]]</f>
        <v>350000</v>
      </c>
    </row>
    <row r="24" spans="1:11" x14ac:dyDescent="0.35">
      <c r="A24" s="1">
        <v>45740</v>
      </c>
      <c r="B24" t="s">
        <v>17</v>
      </c>
      <c r="C24" t="s">
        <v>66</v>
      </c>
      <c r="D24" t="s">
        <v>25</v>
      </c>
      <c r="E24">
        <v>20</v>
      </c>
      <c r="F24">
        <v>150000</v>
      </c>
      <c r="G24" t="s">
        <v>26</v>
      </c>
      <c r="H24" t="s">
        <v>51</v>
      </c>
      <c r="I24" t="s">
        <v>50</v>
      </c>
      <c r="J24" t="s">
        <v>32</v>
      </c>
      <c r="K24">
        <f>Table1_1[[#This Row],[Units Sold]]*Table1_1[[#This Row],[Unit Price]]</f>
        <v>3000000</v>
      </c>
    </row>
    <row r="25" spans="1:11" x14ac:dyDescent="0.35">
      <c r="A25" s="1">
        <v>45805</v>
      </c>
      <c r="B25" t="s">
        <v>23</v>
      </c>
      <c r="C25" t="s">
        <v>66</v>
      </c>
      <c r="D25" t="s">
        <v>25</v>
      </c>
      <c r="E25">
        <v>8</v>
      </c>
      <c r="F25">
        <v>150000</v>
      </c>
      <c r="G25" t="s">
        <v>19</v>
      </c>
      <c r="H25" t="s">
        <v>41</v>
      </c>
      <c r="I25" t="s">
        <v>28</v>
      </c>
      <c r="J25" t="s">
        <v>22</v>
      </c>
      <c r="K25">
        <f>Table1_1[[#This Row],[Units Sold]]*Table1_1[[#This Row],[Unit Price]]</f>
        <v>1200000</v>
      </c>
    </row>
    <row r="26" spans="1:11" x14ac:dyDescent="0.35">
      <c r="A26" s="1">
        <v>45789</v>
      </c>
      <c r="B26" t="s">
        <v>31</v>
      </c>
      <c r="C26" t="s">
        <v>11</v>
      </c>
      <c r="D26" t="s">
        <v>12</v>
      </c>
      <c r="E26">
        <v>19</v>
      </c>
      <c r="F26">
        <v>250000</v>
      </c>
      <c r="G26" t="s">
        <v>48</v>
      </c>
      <c r="H26" t="s">
        <v>47</v>
      </c>
      <c r="I26" t="s">
        <v>28</v>
      </c>
      <c r="J26" t="s">
        <v>32</v>
      </c>
      <c r="K26">
        <f>Table1_1[[#This Row],[Units Sold]]*Table1_1[[#This Row],[Unit Price]]</f>
        <v>4750000</v>
      </c>
    </row>
    <row r="27" spans="1:11" x14ac:dyDescent="0.35">
      <c r="A27" s="1">
        <v>45788</v>
      </c>
      <c r="B27" t="s">
        <v>17</v>
      </c>
      <c r="C27" t="s">
        <v>36</v>
      </c>
      <c r="D27" t="s">
        <v>37</v>
      </c>
      <c r="E27">
        <v>12</v>
      </c>
      <c r="F27">
        <v>175000</v>
      </c>
      <c r="G27" t="s">
        <v>46</v>
      </c>
      <c r="H27" t="s">
        <v>41</v>
      </c>
      <c r="I27" t="s">
        <v>28</v>
      </c>
      <c r="J27" t="s">
        <v>43</v>
      </c>
      <c r="K27">
        <f>Table1_1[[#This Row],[Units Sold]]*Table1_1[[#This Row],[Unit Price]]</f>
        <v>2100000</v>
      </c>
    </row>
    <row r="28" spans="1:11" x14ac:dyDescent="0.35">
      <c r="A28" s="1">
        <v>45673</v>
      </c>
      <c r="B28" t="s">
        <v>23</v>
      </c>
      <c r="C28" t="s">
        <v>44</v>
      </c>
      <c r="D28" t="s">
        <v>39</v>
      </c>
      <c r="E28">
        <v>11</v>
      </c>
      <c r="F28">
        <v>85000</v>
      </c>
      <c r="G28" t="s">
        <v>48</v>
      </c>
      <c r="H28" t="s">
        <v>47</v>
      </c>
      <c r="I28" t="s">
        <v>21</v>
      </c>
      <c r="J28" t="s">
        <v>45</v>
      </c>
      <c r="K28">
        <f>Table1_1[[#This Row],[Units Sold]]*Table1_1[[#This Row],[Unit Price]]</f>
        <v>935000</v>
      </c>
    </row>
    <row r="29" spans="1:11" x14ac:dyDescent="0.35">
      <c r="A29" s="1">
        <v>45787</v>
      </c>
      <c r="B29" t="s">
        <v>23</v>
      </c>
      <c r="C29" t="s">
        <v>35</v>
      </c>
      <c r="D29" t="s">
        <v>30</v>
      </c>
      <c r="E29">
        <v>17</v>
      </c>
      <c r="F29">
        <v>65000</v>
      </c>
      <c r="G29" t="s">
        <v>46</v>
      </c>
      <c r="H29" t="s">
        <v>42</v>
      </c>
      <c r="I29" t="s">
        <v>28</v>
      </c>
      <c r="J29" t="s">
        <v>29</v>
      </c>
      <c r="K29">
        <f>Table1_1[[#This Row],[Units Sold]]*Table1_1[[#This Row],[Unit Price]]</f>
        <v>1105000</v>
      </c>
    </row>
    <row r="30" spans="1:11" x14ac:dyDescent="0.35">
      <c r="A30" s="1">
        <v>45689</v>
      </c>
      <c r="B30" t="s">
        <v>10</v>
      </c>
      <c r="C30" t="s">
        <v>33</v>
      </c>
      <c r="D30" t="s">
        <v>18</v>
      </c>
      <c r="E30">
        <v>15</v>
      </c>
      <c r="F30">
        <v>350000</v>
      </c>
      <c r="G30" t="s">
        <v>67</v>
      </c>
      <c r="H30" t="s">
        <v>27</v>
      </c>
      <c r="I30" t="s">
        <v>34</v>
      </c>
      <c r="J30" t="s">
        <v>29</v>
      </c>
      <c r="K30">
        <f>Table1_1[[#This Row],[Units Sold]]*Table1_1[[#This Row],[Unit Price]]</f>
        <v>5250000</v>
      </c>
    </row>
    <row r="31" spans="1:11" x14ac:dyDescent="0.35">
      <c r="A31" s="1">
        <v>45694</v>
      </c>
      <c r="B31" t="s">
        <v>31</v>
      </c>
      <c r="C31" t="s">
        <v>33</v>
      </c>
      <c r="D31" t="s">
        <v>18</v>
      </c>
      <c r="E31">
        <v>8</v>
      </c>
      <c r="F31">
        <v>350000</v>
      </c>
      <c r="G31" t="s">
        <v>13</v>
      </c>
      <c r="H31" t="s">
        <v>47</v>
      </c>
      <c r="I31" t="s">
        <v>34</v>
      </c>
      <c r="J31" t="s">
        <v>45</v>
      </c>
      <c r="K31">
        <f>Table1_1[[#This Row],[Units Sold]]*Table1_1[[#This Row],[Unit Price]]</f>
        <v>2800000</v>
      </c>
    </row>
    <row r="32" spans="1:11" x14ac:dyDescent="0.35">
      <c r="A32" s="1">
        <v>45825</v>
      </c>
      <c r="B32" t="s">
        <v>31</v>
      </c>
      <c r="C32" t="s">
        <v>33</v>
      </c>
      <c r="D32" t="s">
        <v>18</v>
      </c>
      <c r="E32">
        <v>14</v>
      </c>
      <c r="F32">
        <v>350000</v>
      </c>
      <c r="G32" t="s">
        <v>46</v>
      </c>
      <c r="H32" t="s">
        <v>52</v>
      </c>
      <c r="I32" t="s">
        <v>8</v>
      </c>
      <c r="J32" t="s">
        <v>16</v>
      </c>
      <c r="K32">
        <f>Table1_1[[#This Row],[Units Sold]]*Table1_1[[#This Row],[Unit Price]]</f>
        <v>4900000</v>
      </c>
    </row>
    <row r="33" spans="1:11" x14ac:dyDescent="0.35">
      <c r="A33" s="1">
        <v>45666</v>
      </c>
      <c r="B33" t="s">
        <v>17</v>
      </c>
      <c r="C33" t="s">
        <v>66</v>
      </c>
      <c r="D33" t="s">
        <v>25</v>
      </c>
      <c r="E33">
        <v>12</v>
      </c>
      <c r="F33">
        <v>150000</v>
      </c>
      <c r="G33" t="s">
        <v>26</v>
      </c>
      <c r="H33" t="s">
        <v>38</v>
      </c>
      <c r="I33" t="s">
        <v>21</v>
      </c>
      <c r="J33" t="s">
        <v>45</v>
      </c>
      <c r="K33">
        <f>Table1_1[[#This Row],[Units Sold]]*Table1_1[[#This Row],[Unit Price]]</f>
        <v>1800000</v>
      </c>
    </row>
    <row r="34" spans="1:11" x14ac:dyDescent="0.35">
      <c r="A34" s="1">
        <v>45837</v>
      </c>
      <c r="B34" t="s">
        <v>23</v>
      </c>
      <c r="C34" t="s">
        <v>36</v>
      </c>
      <c r="D34" t="s">
        <v>37</v>
      </c>
      <c r="E34">
        <v>8</v>
      </c>
      <c r="F34">
        <v>175000</v>
      </c>
      <c r="G34" t="s">
        <v>13</v>
      </c>
      <c r="H34" t="s">
        <v>38</v>
      </c>
      <c r="I34" t="s">
        <v>8</v>
      </c>
      <c r="J34" t="s">
        <v>43</v>
      </c>
      <c r="K34">
        <f>Table1_1[[#This Row],[Units Sold]]*Table1_1[[#This Row],[Unit Price]]</f>
        <v>1400000</v>
      </c>
    </row>
    <row r="35" spans="1:11" x14ac:dyDescent="0.35">
      <c r="A35" s="1">
        <v>45735</v>
      </c>
      <c r="B35" t="s">
        <v>10</v>
      </c>
      <c r="C35" t="s">
        <v>66</v>
      </c>
      <c r="D35" t="s">
        <v>25</v>
      </c>
      <c r="E35">
        <v>6</v>
      </c>
      <c r="F35">
        <v>150000</v>
      </c>
      <c r="G35" t="s">
        <v>13</v>
      </c>
      <c r="H35" t="s">
        <v>47</v>
      </c>
      <c r="I35" t="s">
        <v>50</v>
      </c>
      <c r="J35" t="s">
        <v>22</v>
      </c>
      <c r="K35">
        <f>Table1_1[[#This Row],[Units Sold]]*Table1_1[[#This Row],[Unit Price]]</f>
        <v>900000</v>
      </c>
    </row>
    <row r="36" spans="1:11" x14ac:dyDescent="0.35">
      <c r="A36" s="1">
        <v>45694</v>
      </c>
      <c r="B36" t="s">
        <v>31</v>
      </c>
      <c r="C36" t="s">
        <v>11</v>
      </c>
      <c r="D36" t="s">
        <v>12</v>
      </c>
      <c r="E36">
        <v>20</v>
      </c>
      <c r="F36">
        <v>2500000</v>
      </c>
      <c r="G36" t="s">
        <v>13</v>
      </c>
      <c r="H36" t="s">
        <v>41</v>
      </c>
      <c r="I36" t="s">
        <v>34</v>
      </c>
      <c r="J36" t="s">
        <v>45</v>
      </c>
      <c r="K36">
        <f>Table1_1[[#This Row],[Units Sold]]*Table1_1[[#This Row],[Unit Price]]</f>
        <v>50000000</v>
      </c>
    </row>
    <row r="37" spans="1:11" x14ac:dyDescent="0.35">
      <c r="A37" s="1">
        <v>45753</v>
      </c>
      <c r="B37" t="s">
        <v>10</v>
      </c>
      <c r="C37" t="s">
        <v>35</v>
      </c>
      <c r="D37" t="s">
        <v>30</v>
      </c>
      <c r="E37">
        <v>12</v>
      </c>
      <c r="F37">
        <v>65000</v>
      </c>
      <c r="G37" t="s">
        <v>13</v>
      </c>
      <c r="H37" t="s">
        <v>51</v>
      </c>
      <c r="I37" t="s">
        <v>15</v>
      </c>
      <c r="J37" t="s">
        <v>43</v>
      </c>
      <c r="K37">
        <f>Table1_1[[#This Row],[Units Sold]]*Table1_1[[#This Row],[Unit Price]]</f>
        <v>780000</v>
      </c>
    </row>
    <row r="38" spans="1:11" x14ac:dyDescent="0.35">
      <c r="A38" s="1">
        <v>45695</v>
      </c>
      <c r="B38" t="s">
        <v>10</v>
      </c>
      <c r="C38" t="s">
        <v>35</v>
      </c>
      <c r="D38" t="s">
        <v>30</v>
      </c>
      <c r="E38">
        <v>4</v>
      </c>
      <c r="F38">
        <v>73740</v>
      </c>
      <c r="G38" t="s">
        <v>53</v>
      </c>
      <c r="H38" t="s">
        <v>52</v>
      </c>
      <c r="I38" t="s">
        <v>34</v>
      </c>
      <c r="J38" t="s">
        <v>9</v>
      </c>
      <c r="K38">
        <f>Table1_1[[#This Row],[Units Sold]]*Table1_1[[#This Row],[Unit Price]]</f>
        <v>294960</v>
      </c>
    </row>
    <row r="39" spans="1:11" x14ac:dyDescent="0.35">
      <c r="A39" s="1">
        <v>45723</v>
      </c>
      <c r="B39" t="s">
        <v>17</v>
      </c>
      <c r="C39" t="s">
        <v>36</v>
      </c>
      <c r="D39" t="s">
        <v>37</v>
      </c>
      <c r="E39">
        <v>18</v>
      </c>
      <c r="F39">
        <v>175000</v>
      </c>
      <c r="G39" t="s">
        <v>48</v>
      </c>
      <c r="H39" t="s">
        <v>14</v>
      </c>
      <c r="I39" t="s">
        <v>50</v>
      </c>
      <c r="J39" t="s">
        <v>9</v>
      </c>
      <c r="K39">
        <f>Table1_1[[#This Row],[Units Sold]]*Table1_1[[#This Row],[Unit Price]]</f>
        <v>3150000</v>
      </c>
    </row>
    <row r="40" spans="1:11" x14ac:dyDescent="0.35">
      <c r="A40" s="1">
        <v>45784</v>
      </c>
      <c r="B40" t="s">
        <v>23</v>
      </c>
      <c r="C40" t="s">
        <v>24</v>
      </c>
      <c r="D40" t="s">
        <v>25</v>
      </c>
      <c r="E40">
        <v>10</v>
      </c>
      <c r="F40">
        <v>180000</v>
      </c>
      <c r="G40" t="s">
        <v>53</v>
      </c>
      <c r="H40" t="s">
        <v>55</v>
      </c>
      <c r="I40" t="s">
        <v>28</v>
      </c>
      <c r="J40" t="s">
        <v>22</v>
      </c>
      <c r="K40">
        <f>Table1_1[[#This Row],[Units Sold]]*Table1_1[[#This Row],[Unit Price]]</f>
        <v>1800000</v>
      </c>
    </row>
    <row r="41" spans="1:11" x14ac:dyDescent="0.35">
      <c r="A41" s="1">
        <v>45838</v>
      </c>
      <c r="B41" t="s">
        <v>17</v>
      </c>
      <c r="C41" t="s">
        <v>80</v>
      </c>
      <c r="D41" t="s">
        <v>30</v>
      </c>
      <c r="E41">
        <v>10</v>
      </c>
      <c r="F41">
        <v>65000</v>
      </c>
      <c r="G41" t="s">
        <v>54</v>
      </c>
      <c r="H41" t="s">
        <v>20</v>
      </c>
      <c r="I41" t="s">
        <v>8</v>
      </c>
      <c r="J41" t="s">
        <v>32</v>
      </c>
      <c r="K41">
        <f>Table1_1[[#This Row],[Units Sold]]*Table1_1[[#This Row],[Unit Price]]</f>
        <v>650000</v>
      </c>
    </row>
    <row r="42" spans="1:11" x14ac:dyDescent="0.35">
      <c r="A42" s="1">
        <v>45713</v>
      </c>
      <c r="B42" t="s">
        <v>23</v>
      </c>
      <c r="C42" t="s">
        <v>66</v>
      </c>
      <c r="D42" t="s">
        <v>25</v>
      </c>
      <c r="E42">
        <v>3</v>
      </c>
      <c r="F42">
        <v>150000</v>
      </c>
      <c r="G42" t="s">
        <v>53</v>
      </c>
      <c r="H42" t="s">
        <v>52</v>
      </c>
      <c r="I42" t="s">
        <v>34</v>
      </c>
      <c r="J42" t="s">
        <v>16</v>
      </c>
      <c r="K42">
        <f>Table1_1[[#This Row],[Units Sold]]*Table1_1[[#This Row],[Unit Price]]</f>
        <v>450000</v>
      </c>
    </row>
    <row r="43" spans="1:11" x14ac:dyDescent="0.35">
      <c r="A43" s="1">
        <v>45670</v>
      </c>
      <c r="B43" t="s">
        <v>10</v>
      </c>
      <c r="C43" t="s">
        <v>24</v>
      </c>
      <c r="D43" t="s">
        <v>25</v>
      </c>
      <c r="E43">
        <v>8</v>
      </c>
      <c r="F43">
        <v>180000</v>
      </c>
      <c r="G43" t="s">
        <v>40</v>
      </c>
      <c r="H43" t="s">
        <v>41</v>
      </c>
      <c r="I43" t="s">
        <v>21</v>
      </c>
      <c r="J43" t="s">
        <v>32</v>
      </c>
      <c r="K43">
        <f>Table1_1[[#This Row],[Units Sold]]*Table1_1[[#This Row],[Unit Price]]</f>
        <v>1440000</v>
      </c>
    </row>
    <row r="44" spans="1:11" x14ac:dyDescent="0.35">
      <c r="A44" s="1">
        <v>45823</v>
      </c>
      <c r="B44" t="s">
        <v>10</v>
      </c>
      <c r="C44" t="s">
        <v>11</v>
      </c>
      <c r="D44" t="s">
        <v>12</v>
      </c>
      <c r="E44">
        <v>3</v>
      </c>
      <c r="F44">
        <v>250000</v>
      </c>
      <c r="G44" t="s">
        <v>53</v>
      </c>
      <c r="H44" t="s">
        <v>55</v>
      </c>
      <c r="I44" t="s">
        <v>8</v>
      </c>
      <c r="J44" t="s">
        <v>43</v>
      </c>
      <c r="K44">
        <f>Table1_1[[#This Row],[Units Sold]]*Table1_1[[#This Row],[Unit Price]]</f>
        <v>750000</v>
      </c>
    </row>
    <row r="45" spans="1:11" x14ac:dyDescent="0.35">
      <c r="A45" s="1">
        <v>45716</v>
      </c>
      <c r="B45" t="s">
        <v>17</v>
      </c>
      <c r="C45" t="s">
        <v>44</v>
      </c>
      <c r="D45" t="s">
        <v>39</v>
      </c>
      <c r="E45">
        <v>18</v>
      </c>
      <c r="F45">
        <v>85000</v>
      </c>
      <c r="G45" t="s">
        <v>19</v>
      </c>
      <c r="H45" t="s">
        <v>38</v>
      </c>
      <c r="I45" t="s">
        <v>34</v>
      </c>
      <c r="J45" t="s">
        <v>9</v>
      </c>
      <c r="K45">
        <f>Table1_1[[#This Row],[Units Sold]]*Table1_1[[#This Row],[Unit Price]]</f>
        <v>1530000</v>
      </c>
    </row>
    <row r="46" spans="1:11" x14ac:dyDescent="0.35">
      <c r="A46" s="1">
        <v>45707</v>
      </c>
      <c r="B46" t="s">
        <v>31</v>
      </c>
      <c r="C46" t="s">
        <v>66</v>
      </c>
      <c r="D46" t="s">
        <v>25</v>
      </c>
      <c r="E46">
        <v>9</v>
      </c>
      <c r="F46">
        <v>150000</v>
      </c>
      <c r="G46" t="s">
        <v>53</v>
      </c>
      <c r="H46" t="s">
        <v>42</v>
      </c>
      <c r="I46" t="s">
        <v>34</v>
      </c>
      <c r="J46" t="s">
        <v>22</v>
      </c>
      <c r="K46">
        <f>Table1_1[[#This Row],[Units Sold]]*Table1_1[[#This Row],[Unit Price]]</f>
        <v>1350000</v>
      </c>
    </row>
    <row r="47" spans="1:11" x14ac:dyDescent="0.35">
      <c r="A47" s="1">
        <v>45719</v>
      </c>
      <c r="B47" t="s">
        <v>17</v>
      </c>
      <c r="C47" t="s">
        <v>66</v>
      </c>
      <c r="D47" t="s">
        <v>25</v>
      </c>
      <c r="E47">
        <v>18</v>
      </c>
      <c r="F47">
        <v>150000</v>
      </c>
      <c r="G47" t="s">
        <v>26</v>
      </c>
      <c r="H47" t="s">
        <v>38</v>
      </c>
      <c r="I47" t="s">
        <v>50</v>
      </c>
      <c r="J47" t="s">
        <v>32</v>
      </c>
      <c r="K47">
        <f>Table1_1[[#This Row],[Units Sold]]*Table1_1[[#This Row],[Unit Price]]</f>
        <v>2700000</v>
      </c>
    </row>
    <row r="48" spans="1:11" x14ac:dyDescent="0.35">
      <c r="A48" s="1">
        <v>45748</v>
      </c>
      <c r="B48" t="s">
        <v>31</v>
      </c>
      <c r="C48" t="s">
        <v>66</v>
      </c>
      <c r="D48" t="s">
        <v>25</v>
      </c>
      <c r="E48">
        <v>11</v>
      </c>
      <c r="F48">
        <v>150000</v>
      </c>
      <c r="G48" t="s">
        <v>53</v>
      </c>
      <c r="H48" t="s">
        <v>55</v>
      </c>
      <c r="I48" t="s">
        <v>15</v>
      </c>
      <c r="J48" t="s">
        <v>16</v>
      </c>
      <c r="K48">
        <f>Table1_1[[#This Row],[Units Sold]]*Table1_1[[#This Row],[Unit Price]]</f>
        <v>1650000</v>
      </c>
    </row>
    <row r="49" spans="1:11" x14ac:dyDescent="0.35">
      <c r="A49" s="1">
        <v>45754</v>
      </c>
      <c r="B49" t="s">
        <v>10</v>
      </c>
      <c r="C49" t="s">
        <v>33</v>
      </c>
      <c r="D49" t="s">
        <v>18</v>
      </c>
      <c r="E49">
        <v>4</v>
      </c>
      <c r="F49">
        <v>350000</v>
      </c>
      <c r="G49" t="s">
        <v>48</v>
      </c>
      <c r="H49" t="s">
        <v>56</v>
      </c>
      <c r="I49" t="s">
        <v>15</v>
      </c>
      <c r="J49" t="s">
        <v>32</v>
      </c>
      <c r="K49">
        <f>Table1_1[[#This Row],[Units Sold]]*Table1_1[[#This Row],[Unit Price]]</f>
        <v>1400000</v>
      </c>
    </row>
    <row r="50" spans="1:11" x14ac:dyDescent="0.35">
      <c r="A50" s="1">
        <v>45714</v>
      </c>
      <c r="B50" t="s">
        <v>10</v>
      </c>
      <c r="C50" t="s">
        <v>66</v>
      </c>
      <c r="D50" t="s">
        <v>25</v>
      </c>
      <c r="E50">
        <v>19</v>
      </c>
      <c r="F50">
        <v>150000</v>
      </c>
      <c r="G50" t="s">
        <v>68</v>
      </c>
      <c r="H50" t="s">
        <v>42</v>
      </c>
      <c r="I50" t="s">
        <v>34</v>
      </c>
      <c r="J50" t="s">
        <v>22</v>
      </c>
      <c r="K50">
        <f>Table1_1[[#This Row],[Units Sold]]*Table1_1[[#This Row],[Unit Price]]</f>
        <v>2850000</v>
      </c>
    </row>
    <row r="51" spans="1:11" x14ac:dyDescent="0.35">
      <c r="A51" s="1">
        <v>45809</v>
      </c>
      <c r="B51" t="s">
        <v>17</v>
      </c>
      <c r="C51" t="s">
        <v>44</v>
      </c>
      <c r="D51" t="s">
        <v>39</v>
      </c>
      <c r="E51">
        <v>7</v>
      </c>
      <c r="F51">
        <v>85000</v>
      </c>
      <c r="G51" t="s">
        <v>40</v>
      </c>
      <c r="H51" t="s">
        <v>14</v>
      </c>
      <c r="I51" t="s">
        <v>8</v>
      </c>
      <c r="J51" t="s">
        <v>43</v>
      </c>
      <c r="K51">
        <f>Table1_1[[#This Row],[Units Sold]]*Table1_1[[#This Row],[Unit Price]]</f>
        <v>595000</v>
      </c>
    </row>
    <row r="52" spans="1:11" x14ac:dyDescent="0.35">
      <c r="A52" s="1">
        <v>45671</v>
      </c>
      <c r="B52" t="s">
        <v>31</v>
      </c>
      <c r="C52" t="s">
        <v>35</v>
      </c>
      <c r="D52" t="s">
        <v>30</v>
      </c>
      <c r="E52">
        <v>13</v>
      </c>
      <c r="F52">
        <v>57912</v>
      </c>
      <c r="G52" t="s">
        <v>26</v>
      </c>
      <c r="H52" t="s">
        <v>47</v>
      </c>
      <c r="I52" t="s">
        <v>21</v>
      </c>
      <c r="J52" t="s">
        <v>16</v>
      </c>
      <c r="K52">
        <f>Table1_1[[#This Row],[Units Sold]]*Table1_1[[#This Row],[Unit Price]]</f>
        <v>752856</v>
      </c>
    </row>
    <row r="53" spans="1:11" x14ac:dyDescent="0.35">
      <c r="A53" s="1">
        <v>45710</v>
      </c>
      <c r="B53" t="s">
        <v>17</v>
      </c>
      <c r="C53" t="s">
        <v>35</v>
      </c>
      <c r="D53" t="s">
        <v>30</v>
      </c>
      <c r="E53">
        <v>18</v>
      </c>
      <c r="F53">
        <v>650000</v>
      </c>
      <c r="G53" t="s">
        <v>48</v>
      </c>
      <c r="H53" t="s">
        <v>56</v>
      </c>
      <c r="I53" t="s">
        <v>34</v>
      </c>
      <c r="J53" t="s">
        <v>29</v>
      </c>
      <c r="K53">
        <f>Table1_1[[#This Row],[Units Sold]]*Table1_1[[#This Row],[Unit Price]]</f>
        <v>11700000</v>
      </c>
    </row>
    <row r="54" spans="1:11" x14ac:dyDescent="0.35">
      <c r="A54" s="1">
        <v>45740</v>
      </c>
      <c r="B54" t="s">
        <v>31</v>
      </c>
      <c r="C54" t="s">
        <v>35</v>
      </c>
      <c r="D54" t="s">
        <v>30</v>
      </c>
      <c r="E54">
        <v>5</v>
      </c>
      <c r="F54">
        <v>65000</v>
      </c>
      <c r="G54" t="s">
        <v>40</v>
      </c>
      <c r="H54" t="s">
        <v>42</v>
      </c>
      <c r="I54" t="s">
        <v>50</v>
      </c>
      <c r="J54" t="s">
        <v>32</v>
      </c>
      <c r="K54">
        <f>Table1_1[[#This Row],[Units Sold]]*Table1_1[[#This Row],[Unit Price]]</f>
        <v>325000</v>
      </c>
    </row>
    <row r="55" spans="1:11" x14ac:dyDescent="0.35">
      <c r="A55" s="1">
        <v>45684</v>
      </c>
      <c r="B55" t="s">
        <v>10</v>
      </c>
      <c r="C55" t="s">
        <v>33</v>
      </c>
      <c r="D55" t="s">
        <v>18</v>
      </c>
      <c r="E55">
        <v>13</v>
      </c>
      <c r="F55">
        <v>350000</v>
      </c>
      <c r="G55" t="s">
        <v>46</v>
      </c>
      <c r="H55" t="s">
        <v>47</v>
      </c>
      <c r="I55" t="s">
        <v>21</v>
      </c>
      <c r="J55" t="s">
        <v>32</v>
      </c>
      <c r="K55">
        <f>Table1_1[[#This Row],[Units Sold]]*Table1_1[[#This Row],[Unit Price]]</f>
        <v>4550000</v>
      </c>
    </row>
    <row r="56" spans="1:11" x14ac:dyDescent="0.35">
      <c r="A56" s="1">
        <v>45661</v>
      </c>
      <c r="B56" t="s">
        <v>31</v>
      </c>
      <c r="C56" t="s">
        <v>33</v>
      </c>
      <c r="D56" t="s">
        <v>18</v>
      </c>
      <c r="E56">
        <v>19</v>
      </c>
      <c r="F56">
        <v>350000</v>
      </c>
      <c r="G56" t="s">
        <v>19</v>
      </c>
      <c r="H56" t="s">
        <v>56</v>
      </c>
      <c r="I56" t="s">
        <v>21</v>
      </c>
      <c r="J56" t="s">
        <v>29</v>
      </c>
      <c r="K56">
        <f>Table1_1[[#This Row],[Units Sold]]*Table1_1[[#This Row],[Unit Price]]</f>
        <v>6650000</v>
      </c>
    </row>
    <row r="57" spans="1:11" x14ac:dyDescent="0.35">
      <c r="A57" s="1">
        <v>45724</v>
      </c>
      <c r="B57" t="s">
        <v>23</v>
      </c>
      <c r="C57" t="s">
        <v>24</v>
      </c>
      <c r="D57" t="s">
        <v>25</v>
      </c>
      <c r="E57">
        <v>9</v>
      </c>
      <c r="F57">
        <v>180000</v>
      </c>
      <c r="G57" t="s">
        <v>40</v>
      </c>
      <c r="H57" t="s">
        <v>69</v>
      </c>
      <c r="I57" t="s">
        <v>50</v>
      </c>
      <c r="J57" t="s">
        <v>29</v>
      </c>
      <c r="K57">
        <f>Table1_1[[#This Row],[Units Sold]]*Table1_1[[#This Row],[Unit Price]]</f>
        <v>1620000</v>
      </c>
    </row>
    <row r="58" spans="1:11" x14ac:dyDescent="0.35">
      <c r="A58" s="1">
        <v>45680</v>
      </c>
      <c r="B58" t="s">
        <v>17</v>
      </c>
      <c r="C58" t="s">
        <v>66</v>
      </c>
      <c r="D58" t="s">
        <v>25</v>
      </c>
      <c r="E58">
        <v>10</v>
      </c>
      <c r="F58">
        <v>150000</v>
      </c>
      <c r="G58" t="s">
        <v>46</v>
      </c>
      <c r="H58" t="s">
        <v>51</v>
      </c>
      <c r="I58" t="s">
        <v>21</v>
      </c>
      <c r="J58" t="s">
        <v>45</v>
      </c>
      <c r="K58">
        <f>Table1_1[[#This Row],[Units Sold]]*Table1_1[[#This Row],[Unit Price]]</f>
        <v>1500000</v>
      </c>
    </row>
    <row r="59" spans="1:11" x14ac:dyDescent="0.35">
      <c r="A59" s="1">
        <v>45673</v>
      </c>
      <c r="B59" t="s">
        <v>17</v>
      </c>
      <c r="C59" t="s">
        <v>44</v>
      </c>
      <c r="D59" t="s">
        <v>39</v>
      </c>
      <c r="E59">
        <v>10</v>
      </c>
      <c r="F59">
        <v>85000</v>
      </c>
      <c r="G59" t="s">
        <v>40</v>
      </c>
      <c r="H59" t="s">
        <v>42</v>
      </c>
      <c r="I59" t="s">
        <v>21</v>
      </c>
      <c r="J59" t="s">
        <v>45</v>
      </c>
      <c r="K59">
        <f>Table1_1[[#This Row],[Units Sold]]*Table1_1[[#This Row],[Unit Price]]</f>
        <v>850000</v>
      </c>
    </row>
    <row r="60" spans="1:11" x14ac:dyDescent="0.35">
      <c r="A60" s="1">
        <v>45693</v>
      </c>
      <c r="B60" t="s">
        <v>10</v>
      </c>
      <c r="C60" t="s">
        <v>11</v>
      </c>
      <c r="D60" t="s">
        <v>12</v>
      </c>
      <c r="E60">
        <v>5</v>
      </c>
      <c r="F60">
        <v>25000</v>
      </c>
      <c r="G60" t="s">
        <v>40</v>
      </c>
      <c r="H60" t="s">
        <v>27</v>
      </c>
      <c r="I60" t="s">
        <v>34</v>
      </c>
      <c r="J60" t="s">
        <v>22</v>
      </c>
      <c r="K60">
        <f>Table1_1[[#This Row],[Units Sold]]*Table1_1[[#This Row],[Unit Price]]</f>
        <v>125000</v>
      </c>
    </row>
    <row r="61" spans="1:11" x14ac:dyDescent="0.35">
      <c r="A61" s="1">
        <v>45802</v>
      </c>
      <c r="B61" t="s">
        <v>17</v>
      </c>
      <c r="C61" t="s">
        <v>66</v>
      </c>
      <c r="D61" t="s">
        <v>25</v>
      </c>
      <c r="E61">
        <v>1</v>
      </c>
      <c r="F61">
        <v>150000</v>
      </c>
      <c r="G61" t="s">
        <v>48</v>
      </c>
      <c r="H61" t="s">
        <v>20</v>
      </c>
      <c r="I61" t="s">
        <v>28</v>
      </c>
      <c r="J61" t="s">
        <v>43</v>
      </c>
      <c r="K61">
        <f>Table1_1[[#This Row],[Units Sold]]*Table1_1[[#This Row],[Unit Price]]</f>
        <v>150000</v>
      </c>
    </row>
    <row r="62" spans="1:11" x14ac:dyDescent="0.35">
      <c r="A62" s="1">
        <v>45663</v>
      </c>
      <c r="B62" t="s">
        <v>10</v>
      </c>
      <c r="C62" t="s">
        <v>66</v>
      </c>
      <c r="D62" t="s">
        <v>25</v>
      </c>
      <c r="E62">
        <v>20</v>
      </c>
      <c r="F62">
        <v>150000</v>
      </c>
      <c r="G62" t="s">
        <v>40</v>
      </c>
      <c r="H62" t="s">
        <v>49</v>
      </c>
      <c r="I62" t="s">
        <v>21</v>
      </c>
      <c r="J62" t="s">
        <v>32</v>
      </c>
      <c r="K62">
        <f>Table1_1[[#This Row],[Units Sold]]*Table1_1[[#This Row],[Unit Price]]</f>
        <v>3000000</v>
      </c>
    </row>
    <row r="63" spans="1:11" x14ac:dyDescent="0.35">
      <c r="A63" s="1">
        <v>45694</v>
      </c>
      <c r="B63" t="s">
        <v>10</v>
      </c>
      <c r="C63" t="s">
        <v>33</v>
      </c>
      <c r="D63" t="s">
        <v>18</v>
      </c>
      <c r="E63">
        <v>11</v>
      </c>
      <c r="F63">
        <v>350000</v>
      </c>
      <c r="G63" t="s">
        <v>46</v>
      </c>
      <c r="H63" t="s">
        <v>57</v>
      </c>
      <c r="I63" t="s">
        <v>34</v>
      </c>
      <c r="J63" t="s">
        <v>45</v>
      </c>
      <c r="K63">
        <f>Table1_1[[#This Row],[Units Sold]]*Table1_1[[#This Row],[Unit Price]]</f>
        <v>3850000</v>
      </c>
    </row>
    <row r="64" spans="1:11" x14ac:dyDescent="0.35">
      <c r="A64" s="1">
        <v>45671</v>
      </c>
      <c r="B64" t="s">
        <v>17</v>
      </c>
      <c r="C64" t="s">
        <v>11</v>
      </c>
      <c r="D64" t="s">
        <v>12</v>
      </c>
      <c r="E64">
        <v>14</v>
      </c>
      <c r="F64">
        <v>250000</v>
      </c>
      <c r="G64" t="s">
        <v>46</v>
      </c>
      <c r="H64" t="s">
        <v>55</v>
      </c>
      <c r="I64" t="s">
        <v>21</v>
      </c>
      <c r="J64" t="s">
        <v>16</v>
      </c>
      <c r="K64">
        <f>Table1_1[[#This Row],[Units Sold]]*Table1_1[[#This Row],[Unit Price]]</f>
        <v>3500000</v>
      </c>
    </row>
    <row r="65" spans="1:11" x14ac:dyDescent="0.35">
      <c r="A65" s="1">
        <v>45779</v>
      </c>
      <c r="B65" t="s">
        <v>31</v>
      </c>
      <c r="C65" t="s">
        <v>66</v>
      </c>
      <c r="D65" t="s">
        <v>25</v>
      </c>
      <c r="E65">
        <v>3</v>
      </c>
      <c r="F65">
        <v>150000</v>
      </c>
      <c r="G65" t="s">
        <v>40</v>
      </c>
      <c r="H65" t="s">
        <v>14</v>
      </c>
      <c r="I65" t="s">
        <v>28</v>
      </c>
      <c r="J65" t="s">
        <v>9</v>
      </c>
      <c r="K65">
        <f>Table1_1[[#This Row],[Units Sold]]*Table1_1[[#This Row],[Unit Price]]</f>
        <v>450000</v>
      </c>
    </row>
    <row r="66" spans="1:11" x14ac:dyDescent="0.35">
      <c r="A66" s="1">
        <v>45825</v>
      </c>
      <c r="B66" t="s">
        <v>17</v>
      </c>
      <c r="C66" t="s">
        <v>44</v>
      </c>
      <c r="D66" t="s">
        <v>39</v>
      </c>
      <c r="E66">
        <v>6</v>
      </c>
      <c r="F66">
        <v>85000</v>
      </c>
      <c r="G66" t="s">
        <v>26</v>
      </c>
      <c r="H66" t="s">
        <v>49</v>
      </c>
      <c r="I66" t="s">
        <v>8</v>
      </c>
      <c r="J66" t="s">
        <v>16</v>
      </c>
      <c r="K66">
        <f>Table1_1[[#This Row],[Units Sold]]*Table1_1[[#This Row],[Unit Price]]</f>
        <v>510000</v>
      </c>
    </row>
    <row r="67" spans="1:11" x14ac:dyDescent="0.35">
      <c r="A67" s="1">
        <v>45670</v>
      </c>
      <c r="B67" t="s">
        <v>31</v>
      </c>
      <c r="C67" t="s">
        <v>33</v>
      </c>
      <c r="D67" t="s">
        <v>18</v>
      </c>
      <c r="E67">
        <v>15</v>
      </c>
      <c r="F67">
        <v>350000</v>
      </c>
      <c r="G67" t="s">
        <v>46</v>
      </c>
      <c r="H67" t="s">
        <v>57</v>
      </c>
      <c r="I67" t="s">
        <v>21</v>
      </c>
      <c r="J67" t="s">
        <v>32</v>
      </c>
      <c r="K67">
        <f>Table1_1[[#This Row],[Units Sold]]*Table1_1[[#This Row],[Unit Price]]</f>
        <v>5250000</v>
      </c>
    </row>
    <row r="68" spans="1:11" x14ac:dyDescent="0.35">
      <c r="A68" s="1">
        <v>45810</v>
      </c>
      <c r="B68" t="s">
        <v>23</v>
      </c>
      <c r="C68" t="s">
        <v>66</v>
      </c>
      <c r="D68" t="s">
        <v>25</v>
      </c>
      <c r="E68">
        <v>16</v>
      </c>
      <c r="F68">
        <v>150000</v>
      </c>
      <c r="G68" t="s">
        <v>19</v>
      </c>
      <c r="H68" t="s">
        <v>55</v>
      </c>
      <c r="I68" t="s">
        <v>8</v>
      </c>
      <c r="J68" t="s">
        <v>32</v>
      </c>
      <c r="K68">
        <f>Table1_1[[#This Row],[Units Sold]]*Table1_1[[#This Row],[Unit Price]]</f>
        <v>2400000</v>
      </c>
    </row>
    <row r="69" spans="1:11" x14ac:dyDescent="0.35">
      <c r="A69" s="1">
        <v>45704</v>
      </c>
      <c r="B69" t="s">
        <v>17</v>
      </c>
      <c r="C69" t="s">
        <v>36</v>
      </c>
      <c r="D69" t="s">
        <v>37</v>
      </c>
      <c r="E69">
        <v>8</v>
      </c>
      <c r="F69">
        <v>175000</v>
      </c>
      <c r="G69" t="s">
        <v>13</v>
      </c>
      <c r="H69" t="s">
        <v>14</v>
      </c>
      <c r="I69" t="s">
        <v>34</v>
      </c>
      <c r="J69" t="s">
        <v>43</v>
      </c>
      <c r="K69">
        <f>Table1_1[[#This Row],[Units Sold]]*Table1_1[[#This Row],[Unit Price]]</f>
        <v>1400000</v>
      </c>
    </row>
    <row r="70" spans="1:11" x14ac:dyDescent="0.35">
      <c r="A70" s="1">
        <v>45761</v>
      </c>
      <c r="B70" t="s">
        <v>10</v>
      </c>
      <c r="C70" t="s">
        <v>44</v>
      </c>
      <c r="D70" t="s">
        <v>39</v>
      </c>
      <c r="E70">
        <v>2</v>
      </c>
      <c r="F70">
        <v>85000</v>
      </c>
      <c r="G70" t="s">
        <v>46</v>
      </c>
      <c r="H70" t="s">
        <v>42</v>
      </c>
      <c r="I70" t="s">
        <v>15</v>
      </c>
      <c r="J70" t="s">
        <v>32</v>
      </c>
      <c r="K70">
        <f>Table1_1[[#This Row],[Units Sold]]*Table1_1[[#This Row],[Unit Price]]</f>
        <v>170000</v>
      </c>
    </row>
    <row r="71" spans="1:11" x14ac:dyDescent="0.35">
      <c r="A71" s="1">
        <v>45663</v>
      </c>
      <c r="B71" t="s">
        <v>23</v>
      </c>
      <c r="C71" t="s">
        <v>11</v>
      </c>
      <c r="D71" t="s">
        <v>12</v>
      </c>
      <c r="E71">
        <v>13</v>
      </c>
      <c r="F71">
        <v>250000</v>
      </c>
      <c r="G71" t="s">
        <v>48</v>
      </c>
      <c r="H71" t="s">
        <v>55</v>
      </c>
      <c r="I71" t="s">
        <v>21</v>
      </c>
      <c r="J71" t="s">
        <v>32</v>
      </c>
      <c r="K71">
        <f>Table1_1[[#This Row],[Units Sold]]*Table1_1[[#This Row],[Unit Price]]</f>
        <v>3250000</v>
      </c>
    </row>
    <row r="72" spans="1:11" x14ac:dyDescent="0.35">
      <c r="A72" s="1">
        <v>45668</v>
      </c>
      <c r="B72" t="s">
        <v>31</v>
      </c>
      <c r="C72" t="s">
        <v>35</v>
      </c>
      <c r="D72" t="s">
        <v>30</v>
      </c>
      <c r="E72">
        <v>11</v>
      </c>
      <c r="F72">
        <v>65000</v>
      </c>
      <c r="G72" t="s">
        <v>46</v>
      </c>
      <c r="H72" t="s">
        <v>57</v>
      </c>
      <c r="I72" t="s">
        <v>21</v>
      </c>
      <c r="J72" t="s">
        <v>29</v>
      </c>
      <c r="K72">
        <f>Table1_1[[#This Row],[Units Sold]]*Table1_1[[#This Row],[Unit Price]]</f>
        <v>715000</v>
      </c>
    </row>
    <row r="73" spans="1:11" x14ac:dyDescent="0.35">
      <c r="A73" s="1">
        <v>45825</v>
      </c>
      <c r="B73" t="s">
        <v>10</v>
      </c>
      <c r="C73" t="s">
        <v>33</v>
      </c>
      <c r="D73" t="s">
        <v>18</v>
      </c>
      <c r="E73">
        <v>17</v>
      </c>
      <c r="F73">
        <v>3500</v>
      </c>
      <c r="G73" t="s">
        <v>46</v>
      </c>
      <c r="H73" t="s">
        <v>41</v>
      </c>
      <c r="I73" t="s">
        <v>8</v>
      </c>
      <c r="J73" t="s">
        <v>16</v>
      </c>
      <c r="K73">
        <f>Table1_1[[#This Row],[Units Sold]]*Table1_1[[#This Row],[Unit Price]]</f>
        <v>59500</v>
      </c>
    </row>
    <row r="74" spans="1:11" x14ac:dyDescent="0.35">
      <c r="A74" s="1">
        <v>45671</v>
      </c>
      <c r="B74" t="s">
        <v>31</v>
      </c>
      <c r="C74" t="s">
        <v>35</v>
      </c>
      <c r="D74" t="s">
        <v>30</v>
      </c>
      <c r="E74">
        <v>18</v>
      </c>
      <c r="F74">
        <v>65000</v>
      </c>
      <c r="G74" t="s">
        <v>46</v>
      </c>
      <c r="H74" t="s">
        <v>47</v>
      </c>
      <c r="I74" t="s">
        <v>21</v>
      </c>
      <c r="J74" t="s">
        <v>16</v>
      </c>
      <c r="K74">
        <f>Table1_1[[#This Row],[Units Sold]]*Table1_1[[#This Row],[Unit Price]]</f>
        <v>1170000</v>
      </c>
    </row>
    <row r="75" spans="1:11" x14ac:dyDescent="0.35">
      <c r="A75" s="1">
        <v>45806</v>
      </c>
      <c r="B75" t="s">
        <v>17</v>
      </c>
      <c r="C75" t="s">
        <v>24</v>
      </c>
      <c r="D75" t="s">
        <v>25</v>
      </c>
      <c r="E75">
        <v>13</v>
      </c>
      <c r="F75">
        <v>180000</v>
      </c>
      <c r="G75" t="s">
        <v>48</v>
      </c>
      <c r="H75" t="s">
        <v>27</v>
      </c>
      <c r="I75" t="s">
        <v>28</v>
      </c>
      <c r="J75" t="s">
        <v>45</v>
      </c>
      <c r="K75">
        <f>Table1_1[[#This Row],[Units Sold]]*Table1_1[[#This Row],[Unit Price]]</f>
        <v>2340000</v>
      </c>
    </row>
    <row r="76" spans="1:11" x14ac:dyDescent="0.35">
      <c r="A76" s="1">
        <v>45731</v>
      </c>
      <c r="B76" t="s">
        <v>10</v>
      </c>
      <c r="C76" t="s">
        <v>36</v>
      </c>
      <c r="D76" t="s">
        <v>37</v>
      </c>
      <c r="E76">
        <v>10</v>
      </c>
      <c r="F76">
        <v>175000</v>
      </c>
      <c r="G76" t="s">
        <v>40</v>
      </c>
      <c r="H76" t="s">
        <v>56</v>
      </c>
      <c r="I76" t="s">
        <v>50</v>
      </c>
      <c r="J76" t="s">
        <v>29</v>
      </c>
      <c r="K76">
        <f>Table1_1[[#This Row],[Units Sold]]*Table1_1[[#This Row],[Unit Price]]</f>
        <v>1750000</v>
      </c>
    </row>
    <row r="77" spans="1:11" x14ac:dyDescent="0.35">
      <c r="A77" s="1">
        <v>45742</v>
      </c>
      <c r="B77" t="s">
        <v>17</v>
      </c>
      <c r="C77" t="s">
        <v>44</v>
      </c>
      <c r="D77" t="s">
        <v>39</v>
      </c>
      <c r="E77">
        <v>5</v>
      </c>
      <c r="F77">
        <v>85000</v>
      </c>
      <c r="G77" t="s">
        <v>48</v>
      </c>
      <c r="H77" t="s">
        <v>69</v>
      </c>
      <c r="I77" t="s">
        <v>50</v>
      </c>
      <c r="J77" t="s">
        <v>22</v>
      </c>
      <c r="K77">
        <f>Table1_1[[#This Row],[Units Sold]]*Table1_1[[#This Row],[Unit Price]]</f>
        <v>425000</v>
      </c>
    </row>
    <row r="78" spans="1:11" x14ac:dyDescent="0.35">
      <c r="A78" s="1">
        <v>45669</v>
      </c>
      <c r="B78" t="s">
        <v>23</v>
      </c>
      <c r="C78" t="s">
        <v>33</v>
      </c>
      <c r="D78" t="s">
        <v>18</v>
      </c>
      <c r="E78">
        <v>17</v>
      </c>
      <c r="F78">
        <v>350000</v>
      </c>
      <c r="G78" t="s">
        <v>53</v>
      </c>
      <c r="H78" t="s">
        <v>49</v>
      </c>
      <c r="I78" t="s">
        <v>21</v>
      </c>
      <c r="J78" t="s">
        <v>43</v>
      </c>
      <c r="K78">
        <f>Table1_1[[#This Row],[Units Sold]]*Table1_1[[#This Row],[Unit Price]]</f>
        <v>5950000</v>
      </c>
    </row>
    <row r="79" spans="1:11" x14ac:dyDescent="0.35">
      <c r="A79" s="1">
        <v>45680</v>
      </c>
      <c r="B79" t="s">
        <v>23</v>
      </c>
      <c r="C79" t="s">
        <v>33</v>
      </c>
      <c r="D79" t="s">
        <v>18</v>
      </c>
      <c r="E79">
        <v>13</v>
      </c>
      <c r="F79">
        <v>350000</v>
      </c>
      <c r="G79" t="s">
        <v>26</v>
      </c>
      <c r="H79" t="s">
        <v>49</v>
      </c>
      <c r="I79" t="s">
        <v>21</v>
      </c>
      <c r="J79" t="s">
        <v>45</v>
      </c>
      <c r="K79">
        <f>Table1_1[[#This Row],[Units Sold]]*Table1_1[[#This Row],[Unit Price]]</f>
        <v>4550000</v>
      </c>
    </row>
    <row r="80" spans="1:11" x14ac:dyDescent="0.35">
      <c r="A80" s="1">
        <v>45782</v>
      </c>
      <c r="B80" t="s">
        <v>23</v>
      </c>
      <c r="C80" t="s">
        <v>33</v>
      </c>
      <c r="D80" t="s">
        <v>18</v>
      </c>
      <c r="E80">
        <v>8</v>
      </c>
      <c r="F80">
        <v>350000</v>
      </c>
      <c r="G80" t="s">
        <v>19</v>
      </c>
      <c r="H80" t="s">
        <v>51</v>
      </c>
      <c r="I80" t="s">
        <v>28</v>
      </c>
      <c r="J80" t="s">
        <v>32</v>
      </c>
      <c r="K80">
        <f>Table1_1[[#This Row],[Units Sold]]*Table1_1[[#This Row],[Unit Price]]</f>
        <v>2800000</v>
      </c>
    </row>
    <row r="81" spans="1:11" x14ac:dyDescent="0.35">
      <c r="A81" s="1">
        <v>45796</v>
      </c>
      <c r="B81" t="s">
        <v>10</v>
      </c>
      <c r="C81" t="s">
        <v>44</v>
      </c>
      <c r="D81" t="s">
        <v>39</v>
      </c>
      <c r="E81">
        <v>13</v>
      </c>
      <c r="F81">
        <v>85000</v>
      </c>
      <c r="G81" t="s">
        <v>40</v>
      </c>
      <c r="H81" t="s">
        <v>51</v>
      </c>
      <c r="I81" t="s">
        <v>28</v>
      </c>
      <c r="J81" t="s">
        <v>32</v>
      </c>
      <c r="K81">
        <f>Table1_1[[#This Row],[Units Sold]]*Table1_1[[#This Row],[Unit Price]]</f>
        <v>1105000</v>
      </c>
    </row>
    <row r="82" spans="1:11" x14ac:dyDescent="0.35">
      <c r="A82" s="1">
        <v>45751</v>
      </c>
      <c r="B82" t="s">
        <v>17</v>
      </c>
      <c r="C82" t="s">
        <v>66</v>
      </c>
      <c r="D82" t="s">
        <v>25</v>
      </c>
      <c r="E82">
        <v>17</v>
      </c>
      <c r="F82">
        <v>150000</v>
      </c>
      <c r="G82" t="s">
        <v>26</v>
      </c>
      <c r="H82" t="s">
        <v>20</v>
      </c>
      <c r="I82" t="s">
        <v>15</v>
      </c>
      <c r="J82" t="s">
        <v>9</v>
      </c>
      <c r="K82">
        <f>Table1_1[[#This Row],[Units Sold]]*Table1_1[[#This Row],[Unit Price]]</f>
        <v>2550000</v>
      </c>
    </row>
    <row r="83" spans="1:11" x14ac:dyDescent="0.35">
      <c r="A83" s="1">
        <v>45714</v>
      </c>
      <c r="B83" t="s">
        <v>10</v>
      </c>
      <c r="C83" t="s">
        <v>35</v>
      </c>
      <c r="D83" t="s">
        <v>30</v>
      </c>
      <c r="E83">
        <v>19</v>
      </c>
      <c r="F83">
        <v>65000</v>
      </c>
      <c r="G83" t="s">
        <v>48</v>
      </c>
      <c r="H83" t="s">
        <v>47</v>
      </c>
      <c r="I83" t="s">
        <v>34</v>
      </c>
      <c r="J83" t="s">
        <v>22</v>
      </c>
      <c r="K83">
        <f>Table1_1[[#This Row],[Units Sold]]*Table1_1[[#This Row],[Unit Price]]</f>
        <v>1235000</v>
      </c>
    </row>
    <row r="84" spans="1:11" x14ac:dyDescent="0.35">
      <c r="A84" s="1">
        <v>45811</v>
      </c>
      <c r="B84" t="s">
        <v>23</v>
      </c>
      <c r="C84" t="s">
        <v>66</v>
      </c>
      <c r="D84" t="s">
        <v>25</v>
      </c>
      <c r="E84">
        <v>1</v>
      </c>
      <c r="F84">
        <v>150000</v>
      </c>
      <c r="G84" t="s">
        <v>48</v>
      </c>
      <c r="H84" t="s">
        <v>69</v>
      </c>
      <c r="I84" t="s">
        <v>8</v>
      </c>
      <c r="J84" t="s">
        <v>16</v>
      </c>
      <c r="K84">
        <f>Table1_1[[#This Row],[Units Sold]]*Table1_1[[#This Row],[Unit Price]]</f>
        <v>150000</v>
      </c>
    </row>
    <row r="85" spans="1:11" x14ac:dyDescent="0.35">
      <c r="A85" s="1">
        <v>45752</v>
      </c>
      <c r="B85" t="s">
        <v>17</v>
      </c>
      <c r="C85" t="s">
        <v>11</v>
      </c>
      <c r="D85" t="s">
        <v>12</v>
      </c>
      <c r="E85">
        <v>13</v>
      </c>
      <c r="F85">
        <v>250000</v>
      </c>
      <c r="G85" t="s">
        <v>46</v>
      </c>
      <c r="H85" t="s">
        <v>51</v>
      </c>
      <c r="I85" t="s">
        <v>15</v>
      </c>
      <c r="J85" t="s">
        <v>29</v>
      </c>
      <c r="K85">
        <f>Table1_1[[#This Row],[Units Sold]]*Table1_1[[#This Row],[Unit Price]]</f>
        <v>3250000</v>
      </c>
    </row>
    <row r="86" spans="1:11" x14ac:dyDescent="0.35">
      <c r="A86" s="1">
        <v>45687</v>
      </c>
      <c r="B86" t="s">
        <v>17</v>
      </c>
      <c r="C86" t="s">
        <v>35</v>
      </c>
      <c r="D86" t="s">
        <v>30</v>
      </c>
      <c r="E86">
        <v>18</v>
      </c>
      <c r="F86">
        <v>65000</v>
      </c>
      <c r="G86" t="s">
        <v>46</v>
      </c>
      <c r="H86" t="s">
        <v>52</v>
      </c>
      <c r="I86" t="s">
        <v>21</v>
      </c>
      <c r="J86" t="s">
        <v>45</v>
      </c>
      <c r="K86">
        <f>Table1_1[[#This Row],[Units Sold]]*Table1_1[[#This Row],[Unit Price]]</f>
        <v>1170000</v>
      </c>
    </row>
    <row r="87" spans="1:11" x14ac:dyDescent="0.35">
      <c r="A87" s="1">
        <v>45688</v>
      </c>
      <c r="B87" t="s">
        <v>23</v>
      </c>
      <c r="C87" t="s">
        <v>11</v>
      </c>
      <c r="D87" t="s">
        <v>12</v>
      </c>
      <c r="E87">
        <v>20</v>
      </c>
      <c r="F87">
        <v>250000</v>
      </c>
      <c r="G87" t="s">
        <v>40</v>
      </c>
      <c r="H87" t="s">
        <v>41</v>
      </c>
      <c r="I87" t="s">
        <v>21</v>
      </c>
      <c r="J87" t="s">
        <v>9</v>
      </c>
      <c r="K87">
        <f>Table1_1[[#This Row],[Units Sold]]*Table1_1[[#This Row],[Unit Price]]</f>
        <v>5000000</v>
      </c>
    </row>
    <row r="88" spans="1:11" x14ac:dyDescent="0.35">
      <c r="A88" s="1">
        <v>45804</v>
      </c>
      <c r="B88" t="s">
        <v>17</v>
      </c>
      <c r="C88" t="s">
        <v>24</v>
      </c>
      <c r="D88" t="s">
        <v>25</v>
      </c>
      <c r="E88">
        <v>4</v>
      </c>
      <c r="F88">
        <v>180000</v>
      </c>
      <c r="G88" t="s">
        <v>40</v>
      </c>
      <c r="H88" t="s">
        <v>20</v>
      </c>
      <c r="I88" t="s">
        <v>28</v>
      </c>
      <c r="J88" t="s">
        <v>16</v>
      </c>
      <c r="K88">
        <f>Table1_1[[#This Row],[Units Sold]]*Table1_1[[#This Row],[Unit Price]]</f>
        <v>720000</v>
      </c>
    </row>
    <row r="89" spans="1:11" x14ac:dyDescent="0.35">
      <c r="A89" s="1">
        <v>45755</v>
      </c>
      <c r="B89" t="s">
        <v>10</v>
      </c>
      <c r="C89" t="s">
        <v>66</v>
      </c>
      <c r="D89" t="s">
        <v>25</v>
      </c>
      <c r="E89">
        <v>5</v>
      </c>
      <c r="F89">
        <v>150000</v>
      </c>
      <c r="G89" t="s">
        <v>46</v>
      </c>
      <c r="H89" t="s">
        <v>38</v>
      </c>
      <c r="I89" t="s">
        <v>15</v>
      </c>
      <c r="J89" t="s">
        <v>16</v>
      </c>
      <c r="K89">
        <f>Table1_1[[#This Row],[Units Sold]]*Table1_1[[#This Row],[Unit Price]]</f>
        <v>750000</v>
      </c>
    </row>
    <row r="90" spans="1:11" x14ac:dyDescent="0.35">
      <c r="A90" s="1">
        <v>45701</v>
      </c>
      <c r="B90" t="s">
        <v>31</v>
      </c>
      <c r="C90" t="s">
        <v>11</v>
      </c>
      <c r="D90" t="s">
        <v>12</v>
      </c>
      <c r="E90">
        <v>11</v>
      </c>
      <c r="F90">
        <v>2500000</v>
      </c>
      <c r="G90" t="s">
        <v>26</v>
      </c>
      <c r="H90" t="s">
        <v>41</v>
      </c>
      <c r="I90" t="s">
        <v>34</v>
      </c>
      <c r="J90" t="s">
        <v>45</v>
      </c>
      <c r="K90">
        <f>Table1_1[[#This Row],[Units Sold]]*Table1_1[[#This Row],[Unit Price]]</f>
        <v>27500000</v>
      </c>
    </row>
    <row r="91" spans="1:11" x14ac:dyDescent="0.35">
      <c r="A91" s="1">
        <v>45725</v>
      </c>
      <c r="B91" t="s">
        <v>17</v>
      </c>
      <c r="C91" t="s">
        <v>11</v>
      </c>
      <c r="D91" t="s">
        <v>12</v>
      </c>
      <c r="E91">
        <v>20</v>
      </c>
      <c r="F91">
        <v>250000</v>
      </c>
      <c r="G91" t="s">
        <v>19</v>
      </c>
      <c r="H91" t="s">
        <v>47</v>
      </c>
      <c r="I91" t="s">
        <v>50</v>
      </c>
      <c r="J91" t="s">
        <v>43</v>
      </c>
      <c r="K91">
        <f>Table1_1[[#This Row],[Units Sold]]*Table1_1[[#This Row],[Unit Price]]</f>
        <v>5000000</v>
      </c>
    </row>
    <row r="92" spans="1:11" x14ac:dyDescent="0.35">
      <c r="A92" s="1">
        <v>45708</v>
      </c>
      <c r="B92" t="s">
        <v>31</v>
      </c>
      <c r="C92" t="s">
        <v>44</v>
      </c>
      <c r="D92" t="s">
        <v>39</v>
      </c>
      <c r="E92">
        <v>7</v>
      </c>
      <c r="F92">
        <v>89233</v>
      </c>
      <c r="G92" t="s">
        <v>26</v>
      </c>
      <c r="H92" t="s">
        <v>47</v>
      </c>
      <c r="I92" t="s">
        <v>34</v>
      </c>
      <c r="J92" t="s">
        <v>45</v>
      </c>
      <c r="K92">
        <f>Table1_1[[#This Row],[Units Sold]]*Table1_1[[#This Row],[Unit Price]]</f>
        <v>624631</v>
      </c>
    </row>
    <row r="93" spans="1:11" x14ac:dyDescent="0.35">
      <c r="A93" s="1">
        <v>45707</v>
      </c>
      <c r="B93" t="s">
        <v>17</v>
      </c>
      <c r="C93" t="s">
        <v>11</v>
      </c>
      <c r="D93" t="s">
        <v>12</v>
      </c>
      <c r="E93">
        <v>5</v>
      </c>
      <c r="F93">
        <v>250000</v>
      </c>
      <c r="G93" t="s">
        <v>53</v>
      </c>
      <c r="H93" t="s">
        <v>52</v>
      </c>
      <c r="I93" t="s">
        <v>34</v>
      </c>
      <c r="J93" t="s">
        <v>22</v>
      </c>
      <c r="K93">
        <f>Table1_1[[#This Row],[Units Sold]]*Table1_1[[#This Row],[Unit Price]]</f>
        <v>1250000</v>
      </c>
    </row>
    <row r="94" spans="1:11" x14ac:dyDescent="0.35">
      <c r="A94" s="1">
        <v>45757</v>
      </c>
      <c r="B94" t="s">
        <v>17</v>
      </c>
      <c r="C94" t="s">
        <v>36</v>
      </c>
      <c r="D94" t="s">
        <v>37</v>
      </c>
      <c r="E94">
        <v>19</v>
      </c>
      <c r="F94">
        <v>175000</v>
      </c>
      <c r="G94" t="s">
        <v>53</v>
      </c>
      <c r="H94" t="s">
        <v>42</v>
      </c>
      <c r="I94" t="s">
        <v>15</v>
      </c>
      <c r="J94" t="s">
        <v>45</v>
      </c>
      <c r="K94">
        <f>Table1_1[[#This Row],[Units Sold]]*Table1_1[[#This Row],[Unit Price]]</f>
        <v>3325000</v>
      </c>
    </row>
    <row r="95" spans="1:11" x14ac:dyDescent="0.35">
      <c r="A95" s="1">
        <v>45798</v>
      </c>
      <c r="B95" t="s">
        <v>17</v>
      </c>
      <c r="C95" t="s">
        <v>33</v>
      </c>
      <c r="D95" t="s">
        <v>18</v>
      </c>
      <c r="E95">
        <v>14</v>
      </c>
      <c r="F95">
        <v>350000</v>
      </c>
      <c r="G95" t="s">
        <v>48</v>
      </c>
      <c r="H95" t="s">
        <v>20</v>
      </c>
      <c r="I95" t="s">
        <v>28</v>
      </c>
      <c r="J95" t="s">
        <v>22</v>
      </c>
      <c r="K95">
        <f>Table1_1[[#This Row],[Units Sold]]*Table1_1[[#This Row],[Unit Price]]</f>
        <v>4900000</v>
      </c>
    </row>
    <row r="96" spans="1:11" x14ac:dyDescent="0.35">
      <c r="A96" s="1">
        <v>45834</v>
      </c>
      <c r="B96" t="s">
        <v>17</v>
      </c>
      <c r="C96" t="s">
        <v>36</v>
      </c>
      <c r="D96" t="s">
        <v>37</v>
      </c>
      <c r="E96">
        <v>20</v>
      </c>
      <c r="F96">
        <v>175000</v>
      </c>
      <c r="G96" t="s">
        <v>53</v>
      </c>
      <c r="H96" t="s">
        <v>14</v>
      </c>
      <c r="I96" t="s">
        <v>8</v>
      </c>
      <c r="J96" t="s">
        <v>45</v>
      </c>
      <c r="K96">
        <f>Table1_1[[#This Row],[Units Sold]]*Table1_1[[#This Row],[Unit Price]]</f>
        <v>3500000</v>
      </c>
    </row>
    <row r="97" spans="1:11" x14ac:dyDescent="0.35">
      <c r="A97" s="1">
        <v>45708</v>
      </c>
      <c r="B97" t="s">
        <v>10</v>
      </c>
      <c r="C97" t="s">
        <v>44</v>
      </c>
      <c r="D97" t="s">
        <v>39</v>
      </c>
      <c r="E97">
        <v>18</v>
      </c>
      <c r="F97">
        <v>85000</v>
      </c>
      <c r="G97" t="s">
        <v>13</v>
      </c>
      <c r="H97" t="s">
        <v>57</v>
      </c>
      <c r="I97" t="s">
        <v>34</v>
      </c>
      <c r="J97" t="s">
        <v>45</v>
      </c>
      <c r="K97">
        <f>Table1_1[[#This Row],[Units Sold]]*Table1_1[[#This Row],[Unit Price]]</f>
        <v>1530000</v>
      </c>
    </row>
    <row r="98" spans="1:11" x14ac:dyDescent="0.35">
      <c r="A98" s="1">
        <v>45835</v>
      </c>
      <c r="B98" t="s">
        <v>23</v>
      </c>
      <c r="C98" t="s">
        <v>36</v>
      </c>
      <c r="D98" t="s">
        <v>37</v>
      </c>
      <c r="E98">
        <v>17</v>
      </c>
      <c r="F98">
        <v>175000</v>
      </c>
      <c r="G98" t="s">
        <v>19</v>
      </c>
      <c r="H98" t="s">
        <v>49</v>
      </c>
      <c r="I98" t="s">
        <v>8</v>
      </c>
      <c r="J98" t="s">
        <v>9</v>
      </c>
      <c r="K98">
        <f>Table1_1[[#This Row],[Units Sold]]*Table1_1[[#This Row],[Unit Price]]</f>
        <v>2975000</v>
      </c>
    </row>
    <row r="99" spans="1:11" x14ac:dyDescent="0.35">
      <c r="A99" s="1">
        <v>45693</v>
      </c>
      <c r="B99" t="s">
        <v>10</v>
      </c>
      <c r="C99" t="s">
        <v>11</v>
      </c>
      <c r="D99" t="s">
        <v>12</v>
      </c>
      <c r="E99">
        <v>20</v>
      </c>
      <c r="F99">
        <v>250000</v>
      </c>
      <c r="G99" t="s">
        <v>26</v>
      </c>
      <c r="H99" t="s">
        <v>20</v>
      </c>
      <c r="I99" t="s">
        <v>34</v>
      </c>
      <c r="J99" t="s">
        <v>22</v>
      </c>
      <c r="K99">
        <f>Table1_1[[#This Row],[Units Sold]]*Table1_1[[#This Row],[Unit Price]]</f>
        <v>5000000</v>
      </c>
    </row>
    <row r="100" spans="1:11" x14ac:dyDescent="0.35">
      <c r="A100" s="1">
        <v>45815</v>
      </c>
      <c r="B100" t="s">
        <v>10</v>
      </c>
      <c r="C100" t="s">
        <v>33</v>
      </c>
      <c r="D100" t="s">
        <v>18</v>
      </c>
      <c r="E100">
        <v>20</v>
      </c>
      <c r="F100">
        <v>350000</v>
      </c>
      <c r="G100" t="s">
        <v>13</v>
      </c>
      <c r="H100" t="s">
        <v>47</v>
      </c>
      <c r="I100" t="s">
        <v>8</v>
      </c>
      <c r="J100" t="s">
        <v>29</v>
      </c>
      <c r="K100">
        <f>Table1_1[[#This Row],[Units Sold]]*Table1_1[[#This Row],[Unit Price]]</f>
        <v>7000000</v>
      </c>
    </row>
    <row r="101" spans="1:11" x14ac:dyDescent="0.35">
      <c r="A101" s="1">
        <v>45790</v>
      </c>
      <c r="B101" t="s">
        <v>31</v>
      </c>
      <c r="C101" t="s">
        <v>66</v>
      </c>
      <c r="D101" t="s">
        <v>25</v>
      </c>
      <c r="E101">
        <v>18</v>
      </c>
      <c r="F101">
        <v>150000</v>
      </c>
      <c r="G101" t="s">
        <v>48</v>
      </c>
      <c r="H101" t="s">
        <v>38</v>
      </c>
      <c r="I101" t="s">
        <v>28</v>
      </c>
      <c r="J101" t="s">
        <v>16</v>
      </c>
      <c r="K101">
        <f>Table1_1[[#This Row],[Units Sold]]*Table1_1[[#This Row],[Unit Price]]</f>
        <v>2700000</v>
      </c>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D677-81ED-4849-9B0B-1E00ED4C5BA3}">
  <dimension ref="A2:AW32"/>
  <sheetViews>
    <sheetView topLeftCell="J10" zoomScale="78" zoomScaleNormal="78" workbookViewId="0">
      <selection activeCell="AS27" sqref="AS27"/>
    </sheetView>
  </sheetViews>
  <sheetFormatPr defaultRowHeight="14.5" x14ac:dyDescent="0.35"/>
  <cols>
    <col min="1" max="1" width="13.36328125" bestFit="1" customWidth="1"/>
    <col min="2" max="2" width="15.453125" bestFit="1" customWidth="1"/>
    <col min="3" max="3" width="14.90625" bestFit="1" customWidth="1"/>
    <col min="4" max="5" width="14.6328125" bestFit="1" customWidth="1"/>
    <col min="6" max="6" width="13.36328125" bestFit="1" customWidth="1"/>
    <col min="7" max="7" width="14" bestFit="1" customWidth="1"/>
    <col min="8" max="8" width="15.7265625" bestFit="1" customWidth="1"/>
    <col min="9" max="9" width="13.453125" bestFit="1" customWidth="1"/>
    <col min="10" max="10" width="14.54296875" bestFit="1" customWidth="1"/>
    <col min="11" max="11" width="14" bestFit="1" customWidth="1"/>
    <col min="12" max="12" width="14.36328125" bestFit="1" customWidth="1"/>
    <col min="13" max="13" width="13.453125" bestFit="1" customWidth="1"/>
    <col min="14" max="14" width="15.08984375" bestFit="1" customWidth="1"/>
    <col min="15" max="16" width="13.453125" bestFit="1" customWidth="1"/>
    <col min="17" max="17" width="13.36328125" bestFit="1" customWidth="1"/>
    <col min="18" max="18" width="14" bestFit="1" customWidth="1"/>
    <col min="19" max="19" width="14.6328125" bestFit="1" customWidth="1"/>
    <col min="20" max="20" width="11.81640625" bestFit="1" customWidth="1"/>
    <col min="21" max="21" width="13.36328125" bestFit="1" customWidth="1"/>
    <col min="22" max="22" width="14" bestFit="1" customWidth="1"/>
    <col min="23" max="24" width="13.453125" bestFit="1" customWidth="1"/>
    <col min="25" max="25" width="15.54296875" bestFit="1" customWidth="1"/>
    <col min="26" max="26" width="10.7265625" bestFit="1" customWidth="1"/>
    <col min="27" max="28" width="11.81640625" bestFit="1" customWidth="1"/>
    <col min="29" max="29" width="13.36328125" bestFit="1" customWidth="1"/>
    <col min="30" max="30" width="14" bestFit="1" customWidth="1"/>
    <col min="31" max="32" width="13.453125" bestFit="1" customWidth="1"/>
    <col min="33" max="33" width="13.36328125" bestFit="1" customWidth="1"/>
    <col min="34" max="34" width="14" bestFit="1" customWidth="1"/>
    <col min="35" max="35" width="13.453125" bestFit="1" customWidth="1"/>
    <col min="36" max="36" width="11.81640625" bestFit="1" customWidth="1"/>
    <col min="37" max="38" width="14" bestFit="1" customWidth="1"/>
    <col min="39" max="41" width="13.453125" bestFit="1" customWidth="1"/>
    <col min="42" max="42" width="13.36328125" bestFit="1" customWidth="1"/>
    <col min="43" max="43" width="14" bestFit="1" customWidth="1"/>
    <col min="44" max="45" width="13.453125" bestFit="1" customWidth="1"/>
    <col min="46" max="46" width="13.26953125" bestFit="1" customWidth="1"/>
    <col min="47" max="47" width="14.453125" bestFit="1" customWidth="1"/>
    <col min="48" max="48" width="14.6328125" bestFit="1" customWidth="1"/>
    <col min="49" max="49" width="10.7265625" bestFit="1" customWidth="1"/>
    <col min="50" max="50" width="11.81640625" bestFit="1" customWidth="1"/>
    <col min="51" max="52" width="13.453125" bestFit="1" customWidth="1"/>
    <col min="53" max="53" width="15.54296875" bestFit="1" customWidth="1"/>
    <col min="54" max="54" width="18" bestFit="1" customWidth="1"/>
    <col min="55" max="55" width="13.453125" bestFit="1" customWidth="1"/>
    <col min="56" max="56" width="20.36328125" bestFit="1" customWidth="1"/>
    <col min="57" max="57" width="14.453125" bestFit="1" customWidth="1"/>
    <col min="58" max="58" width="14.6328125" bestFit="1" customWidth="1"/>
    <col min="59" max="60" width="13.453125" bestFit="1" customWidth="1"/>
    <col min="61" max="61" width="14.453125" bestFit="1" customWidth="1"/>
    <col min="62" max="62" width="14.6328125" bestFit="1" customWidth="1"/>
    <col min="63" max="63" width="11.81640625" bestFit="1" customWidth="1"/>
    <col min="64" max="64" width="15" bestFit="1" customWidth="1"/>
    <col min="65" max="65" width="13.6328125" bestFit="1" customWidth="1"/>
    <col min="66" max="66" width="11.81640625" bestFit="1" customWidth="1"/>
    <col min="67" max="67" width="13.453125" bestFit="1" customWidth="1"/>
    <col min="68" max="68" width="11.81640625" bestFit="1" customWidth="1"/>
    <col min="69" max="69" width="13.453125" bestFit="1" customWidth="1"/>
    <col min="70" max="70" width="11.81640625" bestFit="1" customWidth="1"/>
    <col min="71" max="71" width="14.6328125" bestFit="1" customWidth="1"/>
    <col min="72" max="72" width="11.81640625" bestFit="1" customWidth="1"/>
    <col min="73" max="75" width="13.453125" bestFit="1" customWidth="1"/>
    <col min="76" max="76" width="11.81640625" bestFit="1" customWidth="1"/>
    <col min="77" max="77" width="13.453125" bestFit="1" customWidth="1"/>
    <col min="78" max="78" width="11.81640625" bestFit="1" customWidth="1"/>
    <col min="79" max="79" width="15.7265625" bestFit="1" customWidth="1"/>
  </cols>
  <sheetData>
    <row r="2" spans="1:49" x14ac:dyDescent="0.35">
      <c r="F2" s="2" t="s">
        <v>58</v>
      </c>
      <c r="G2" t="s">
        <v>60</v>
      </c>
      <c r="K2" t="s">
        <v>60</v>
      </c>
      <c r="N2" t="s">
        <v>71</v>
      </c>
      <c r="Q2" s="2" t="s">
        <v>58</v>
      </c>
      <c r="R2" t="s">
        <v>71</v>
      </c>
      <c r="U2" s="2" t="s">
        <v>58</v>
      </c>
      <c r="V2" t="s">
        <v>71</v>
      </c>
      <c r="Y2" s="2" t="s">
        <v>58</v>
      </c>
      <c r="Z2" t="s">
        <v>61</v>
      </c>
      <c r="AC2" s="2" t="s">
        <v>58</v>
      </c>
      <c r="AD2" t="s">
        <v>71</v>
      </c>
      <c r="AG2" s="2" t="s">
        <v>58</v>
      </c>
      <c r="AH2" t="s">
        <v>71</v>
      </c>
      <c r="AK2" s="2" t="s">
        <v>58</v>
      </c>
      <c r="AL2" t="s">
        <v>71</v>
      </c>
      <c r="AP2" s="2" t="s">
        <v>58</v>
      </c>
      <c r="AQ2" t="s">
        <v>71</v>
      </c>
    </row>
    <row r="3" spans="1:49" x14ac:dyDescent="0.35">
      <c r="A3" s="2" t="s">
        <v>58</v>
      </c>
      <c r="B3" s="12" t="s">
        <v>71</v>
      </c>
      <c r="F3" s="3" t="s">
        <v>24</v>
      </c>
      <c r="G3">
        <v>82</v>
      </c>
      <c r="K3">
        <v>1141</v>
      </c>
      <c r="N3" s="12">
        <v>647325000</v>
      </c>
      <c r="Q3" s="3" t="s">
        <v>17</v>
      </c>
      <c r="R3" s="12">
        <v>237120000</v>
      </c>
      <c r="U3" s="3" t="s">
        <v>17</v>
      </c>
      <c r="V3" s="12">
        <v>237120000</v>
      </c>
      <c r="Y3" s="3" t="s">
        <v>47</v>
      </c>
      <c r="Z3">
        <v>13</v>
      </c>
      <c r="AC3" s="3" t="s">
        <v>12</v>
      </c>
      <c r="AD3" s="12">
        <v>477500000</v>
      </c>
      <c r="AG3" s="3" t="s">
        <v>43</v>
      </c>
      <c r="AH3" s="12">
        <v>127300000</v>
      </c>
      <c r="AK3" s="3" t="s">
        <v>48</v>
      </c>
      <c r="AL3" s="12">
        <v>149080000</v>
      </c>
      <c r="AP3" s="3" t="s">
        <v>11</v>
      </c>
      <c r="AQ3" s="12">
        <v>477500000</v>
      </c>
      <c r="AT3" t="s">
        <v>79</v>
      </c>
      <c r="AW3" t="s">
        <v>61</v>
      </c>
    </row>
    <row r="4" spans="1:49" x14ac:dyDescent="0.35">
      <c r="A4" s="3" t="s">
        <v>72</v>
      </c>
      <c r="B4" s="12">
        <v>163045000</v>
      </c>
      <c r="F4" s="3" t="s">
        <v>44</v>
      </c>
      <c r="G4">
        <v>105</v>
      </c>
      <c r="Q4" s="3" t="s">
        <v>23</v>
      </c>
      <c r="R4" s="12">
        <v>113740000</v>
      </c>
      <c r="U4" s="3" t="s">
        <v>23</v>
      </c>
      <c r="V4" s="12">
        <v>113740000</v>
      </c>
      <c r="Y4" s="3" t="s">
        <v>20</v>
      </c>
      <c r="Z4">
        <v>11</v>
      </c>
      <c r="AC4" s="3" t="s">
        <v>18</v>
      </c>
      <c r="AD4" s="12">
        <v>75250000</v>
      </c>
      <c r="AG4" s="3" t="s">
        <v>32</v>
      </c>
      <c r="AH4" s="12">
        <v>112690000</v>
      </c>
      <c r="AK4" s="3" t="s">
        <v>46</v>
      </c>
      <c r="AL4" s="12">
        <v>108570000</v>
      </c>
      <c r="AP4" s="3" t="s">
        <v>33</v>
      </c>
      <c r="AQ4" s="12">
        <v>75250000</v>
      </c>
      <c r="AT4" s="11">
        <v>6473250</v>
      </c>
      <c r="AW4">
        <v>100</v>
      </c>
    </row>
    <row r="5" spans="1:49" x14ac:dyDescent="0.35">
      <c r="A5" s="3" t="s">
        <v>73</v>
      </c>
      <c r="B5" s="12">
        <v>187985000</v>
      </c>
      <c r="F5" s="3" t="s">
        <v>36</v>
      </c>
      <c r="G5">
        <v>146</v>
      </c>
      <c r="Q5" s="3" t="s">
        <v>10</v>
      </c>
      <c r="R5" s="12">
        <v>138110000</v>
      </c>
      <c r="U5" s="3" t="s">
        <v>10</v>
      </c>
      <c r="V5" s="12">
        <v>138110000</v>
      </c>
      <c r="Y5" s="3" t="s">
        <v>41</v>
      </c>
      <c r="Z5">
        <v>9</v>
      </c>
      <c r="AC5" s="3" t="s">
        <v>25</v>
      </c>
      <c r="AD5" s="12">
        <v>48660000</v>
      </c>
      <c r="AG5" s="3" t="s">
        <v>16</v>
      </c>
      <c r="AH5" s="12">
        <v>59675000</v>
      </c>
      <c r="AK5" s="3" t="s">
        <v>26</v>
      </c>
      <c r="AL5" s="12">
        <v>103770000</v>
      </c>
      <c r="AP5" s="3" t="s">
        <v>66</v>
      </c>
      <c r="AQ5" s="12">
        <v>33900000</v>
      </c>
    </row>
    <row r="6" spans="1:49" x14ac:dyDescent="0.35">
      <c r="A6" s="3" t="s">
        <v>74</v>
      </c>
      <c r="B6" s="12">
        <v>63870000</v>
      </c>
      <c r="F6" s="3" t="s">
        <v>35</v>
      </c>
      <c r="G6">
        <v>176</v>
      </c>
      <c r="Q6" s="3" t="s">
        <v>31</v>
      </c>
      <c r="R6" s="12">
        <v>158355000</v>
      </c>
      <c r="U6" s="3" t="s">
        <v>31</v>
      </c>
      <c r="V6" s="12">
        <v>158355000</v>
      </c>
      <c r="Y6" s="3" t="s">
        <v>14</v>
      </c>
      <c r="Z6">
        <v>8</v>
      </c>
      <c r="AC6" s="3" t="s">
        <v>37</v>
      </c>
      <c r="AD6" s="12">
        <v>25550000</v>
      </c>
      <c r="AG6" s="3" t="s">
        <v>22</v>
      </c>
      <c r="AH6" s="12">
        <v>93055000</v>
      </c>
      <c r="AK6" s="3" t="s">
        <v>13</v>
      </c>
      <c r="AL6" s="12">
        <v>87790000</v>
      </c>
      <c r="AP6" s="3" t="s">
        <v>36</v>
      </c>
      <c r="AQ6" s="12">
        <v>25550000</v>
      </c>
    </row>
    <row r="7" spans="1:49" x14ac:dyDescent="0.35">
      <c r="A7" s="3" t="s">
        <v>75</v>
      </c>
      <c r="B7" s="12">
        <v>98545000</v>
      </c>
      <c r="F7" s="3" t="s">
        <v>11</v>
      </c>
      <c r="G7">
        <v>191</v>
      </c>
      <c r="Q7" s="3" t="s">
        <v>59</v>
      </c>
      <c r="R7" s="12">
        <v>647325000</v>
      </c>
      <c r="U7" s="3" t="s">
        <v>59</v>
      </c>
      <c r="V7" s="12">
        <v>647325000</v>
      </c>
      <c r="Y7" s="3" t="s">
        <v>42</v>
      </c>
      <c r="Z7">
        <v>8</v>
      </c>
      <c r="AC7" s="3" t="s">
        <v>30</v>
      </c>
      <c r="AD7" s="12">
        <v>11440000</v>
      </c>
      <c r="AG7" s="3" t="s">
        <v>45</v>
      </c>
      <c r="AH7" s="12">
        <v>106960000</v>
      </c>
      <c r="AK7" s="3" t="s">
        <v>40</v>
      </c>
      <c r="AL7" s="12">
        <v>76065000</v>
      </c>
      <c r="AP7" s="3" t="s">
        <v>24</v>
      </c>
      <c r="AQ7" s="12">
        <v>14760000</v>
      </c>
    </row>
    <row r="8" spans="1:49" x14ac:dyDescent="0.35">
      <c r="A8" s="3" t="s">
        <v>28</v>
      </c>
      <c r="B8" s="12">
        <v>75035000</v>
      </c>
      <c r="F8" s="3" t="s">
        <v>33</v>
      </c>
      <c r="G8">
        <v>215</v>
      </c>
      <c r="Y8" s="3" t="s">
        <v>55</v>
      </c>
      <c r="Z8">
        <v>8</v>
      </c>
      <c r="AC8" s="3" t="s">
        <v>39</v>
      </c>
      <c r="AD8" s="12">
        <v>8925000</v>
      </c>
      <c r="AG8" s="3" t="s">
        <v>9</v>
      </c>
      <c r="AH8" s="12">
        <v>85665000</v>
      </c>
      <c r="AK8" s="3" t="s">
        <v>19</v>
      </c>
      <c r="AL8" s="12">
        <v>74415000</v>
      </c>
      <c r="AP8" s="3" t="s">
        <v>35</v>
      </c>
      <c r="AQ8" s="12">
        <v>11440000</v>
      </c>
    </row>
    <row r="9" spans="1:49" x14ac:dyDescent="0.35">
      <c r="A9" s="3" t="s">
        <v>76</v>
      </c>
      <c r="B9" s="12">
        <v>58845000</v>
      </c>
      <c r="F9" s="3" t="s">
        <v>66</v>
      </c>
      <c r="G9">
        <v>226</v>
      </c>
      <c r="Y9" s="3" t="s">
        <v>38</v>
      </c>
      <c r="Z9">
        <v>7</v>
      </c>
      <c r="AC9" s="3" t="s">
        <v>59</v>
      </c>
      <c r="AD9" s="12">
        <v>647325000</v>
      </c>
      <c r="AG9" s="3" t="s">
        <v>29</v>
      </c>
      <c r="AH9" s="12">
        <v>61980000</v>
      </c>
      <c r="AK9" s="3" t="s">
        <v>53</v>
      </c>
      <c r="AL9" s="12">
        <v>38885000</v>
      </c>
      <c r="AP9" s="3" t="s">
        <v>44</v>
      </c>
      <c r="AQ9" s="12">
        <v>8925000</v>
      </c>
    </row>
    <row r="10" spans="1:49" x14ac:dyDescent="0.35">
      <c r="A10" s="3" t="s">
        <v>59</v>
      </c>
      <c r="B10" s="12">
        <v>647325000</v>
      </c>
      <c r="F10" s="3" t="s">
        <v>59</v>
      </c>
      <c r="G10">
        <v>1141</v>
      </c>
      <c r="Y10" s="3" t="s">
        <v>49</v>
      </c>
      <c r="Z10">
        <v>7</v>
      </c>
      <c r="AG10" s="3" t="s">
        <v>59</v>
      </c>
      <c r="AH10" s="12">
        <v>647325000</v>
      </c>
      <c r="AK10" s="3" t="s">
        <v>67</v>
      </c>
      <c r="AL10" s="12">
        <v>5250000</v>
      </c>
      <c r="AP10" s="3" t="s">
        <v>59</v>
      </c>
      <c r="AQ10" s="12">
        <v>647325000</v>
      </c>
    </row>
    <row r="11" spans="1:49" x14ac:dyDescent="0.35">
      <c r="Y11" s="3" t="s">
        <v>51</v>
      </c>
      <c r="Z11">
        <v>6</v>
      </c>
      <c r="AK11" s="3" t="s">
        <v>68</v>
      </c>
      <c r="AL11" s="12">
        <v>2850000</v>
      </c>
    </row>
    <row r="12" spans="1:49" x14ac:dyDescent="0.35">
      <c r="Y12" s="3" t="s">
        <v>56</v>
      </c>
      <c r="Z12">
        <v>6</v>
      </c>
      <c r="AK12" s="3" t="s">
        <v>54</v>
      </c>
      <c r="AL12" s="12">
        <v>650000</v>
      </c>
    </row>
    <row r="13" spans="1:49" x14ac:dyDescent="0.35">
      <c r="Y13" s="3" t="s">
        <v>52</v>
      </c>
      <c r="Z13">
        <v>5</v>
      </c>
      <c r="AK13" s="3" t="s">
        <v>59</v>
      </c>
      <c r="AL13" s="12">
        <v>647325000</v>
      </c>
    </row>
    <row r="14" spans="1:49" x14ac:dyDescent="0.35">
      <c r="Y14" s="3" t="s">
        <v>57</v>
      </c>
      <c r="Z14">
        <v>5</v>
      </c>
    </row>
    <row r="15" spans="1:49" x14ac:dyDescent="0.35">
      <c r="Y15" s="3" t="s">
        <v>27</v>
      </c>
      <c r="Z15">
        <v>4</v>
      </c>
    </row>
    <row r="16" spans="1:49" x14ac:dyDescent="0.35">
      <c r="Y16" s="3" t="s">
        <v>69</v>
      </c>
      <c r="Z16">
        <v>3</v>
      </c>
    </row>
    <row r="17" spans="25:31" x14ac:dyDescent="0.35">
      <c r="Y17" s="3" t="s">
        <v>59</v>
      </c>
      <c r="Z17">
        <v>100</v>
      </c>
    </row>
    <row r="32" spans="25:31" x14ac:dyDescent="0.35">
      <c r="AE32" s="5"/>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9203-0328-4B18-A056-968037BE4EEE}">
  <dimension ref="A1"/>
  <sheetViews>
    <sheetView topLeftCell="A21" zoomScale="78" zoomScaleNormal="42" workbookViewId="0">
      <selection activeCell="AD53" sqref="AD5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5292-C69D-46C5-8516-D681E61A07C4}">
  <dimension ref="A1:AI69"/>
  <sheetViews>
    <sheetView tabSelected="1" zoomScale="47" zoomScaleNormal="47" workbookViewId="0">
      <selection activeCell="T57" sqref="T57"/>
    </sheetView>
  </sheetViews>
  <sheetFormatPr defaultRowHeight="14.5" x14ac:dyDescent="0.35"/>
  <cols>
    <col min="11" max="11" width="8.1796875" customWidth="1"/>
    <col min="12" max="12" width="2.26953125" hidden="1" customWidth="1"/>
    <col min="13" max="13" width="20.1796875" customWidth="1"/>
    <col min="14" max="14" width="0.90625" customWidth="1"/>
    <col min="17" max="17" width="8.7265625" customWidth="1"/>
    <col min="18" max="18" width="0.7265625" customWidth="1"/>
    <col min="21" max="21" width="8.7265625" customWidth="1"/>
    <col min="22" max="22" width="1.26953125" customWidth="1"/>
    <col min="32" max="35" width="8.7265625" style="4"/>
  </cols>
  <sheetData>
    <row r="1" spans="1:31"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3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23" x14ac:dyDescent="0.5">
      <c r="A7" s="4"/>
      <c r="B7" s="4"/>
      <c r="C7" s="4"/>
      <c r="D7" s="13"/>
      <c r="E7" s="14"/>
      <c r="F7" s="14"/>
      <c r="G7" s="4"/>
      <c r="H7" s="13"/>
      <c r="I7" s="16"/>
      <c r="J7" s="16"/>
      <c r="K7" s="4"/>
      <c r="L7" s="4"/>
      <c r="M7" s="4"/>
      <c r="N7" s="4"/>
      <c r="O7" s="4"/>
      <c r="P7" s="4"/>
      <c r="Q7" s="4"/>
      <c r="R7" s="4"/>
      <c r="S7" s="4"/>
      <c r="T7" s="4"/>
      <c r="U7" s="4"/>
      <c r="V7" s="4"/>
      <c r="W7" s="4"/>
      <c r="X7" s="4"/>
      <c r="Y7" s="4"/>
      <c r="Z7" s="4"/>
      <c r="AA7" s="4"/>
      <c r="AB7" s="4"/>
      <c r="AC7" s="4"/>
      <c r="AD7" s="4"/>
      <c r="AE7" s="4"/>
    </row>
    <row r="8" spans="1:31" x14ac:dyDescent="0.35">
      <c r="A8" s="4"/>
      <c r="B8" s="4"/>
      <c r="C8" s="4"/>
      <c r="D8" s="4"/>
      <c r="E8" s="4"/>
      <c r="F8" s="4"/>
      <c r="G8" s="4"/>
      <c r="H8" s="4"/>
      <c r="I8" s="4"/>
      <c r="J8" s="4"/>
      <c r="K8" s="4"/>
      <c r="L8" s="6"/>
      <c r="M8" s="7" t="s">
        <v>7</v>
      </c>
      <c r="N8" s="8"/>
      <c r="O8" s="6"/>
      <c r="P8" s="9" t="s">
        <v>62</v>
      </c>
      <c r="Q8" s="6"/>
      <c r="R8" s="4"/>
      <c r="S8" s="18" t="s">
        <v>63</v>
      </c>
      <c r="T8" s="18"/>
      <c r="U8" s="18"/>
      <c r="V8" s="4"/>
      <c r="W8" s="18" t="s">
        <v>64</v>
      </c>
      <c r="X8" s="18"/>
      <c r="Y8" s="18"/>
      <c r="Z8" s="4"/>
      <c r="AA8" s="4"/>
      <c r="AB8" s="4"/>
      <c r="AC8" s="4"/>
      <c r="AD8" s="4"/>
      <c r="AE8" s="4"/>
    </row>
    <row r="9" spans="1:31" x14ac:dyDescent="0.35">
      <c r="A9" s="4"/>
      <c r="B9" s="4"/>
      <c r="C9" s="4"/>
      <c r="D9" s="15"/>
      <c r="E9" s="15"/>
      <c r="F9" s="15"/>
      <c r="G9" s="4"/>
      <c r="H9" s="13"/>
      <c r="I9" s="13"/>
      <c r="J9" s="13"/>
      <c r="K9" s="4"/>
      <c r="L9" s="17">
        <f>GETPIVOTDATA("[Measures].[Total_Sales]",Pivot!$N$2)</f>
        <v>647325000</v>
      </c>
      <c r="M9" s="17"/>
      <c r="N9" s="8"/>
      <c r="O9" s="6"/>
      <c r="P9" s="6"/>
      <c r="Q9" s="6"/>
      <c r="R9" s="4"/>
      <c r="S9" s="6"/>
      <c r="T9" s="6"/>
      <c r="U9" s="6"/>
      <c r="V9" s="4"/>
      <c r="W9" s="6"/>
      <c r="X9" s="6"/>
      <c r="Y9" s="6"/>
      <c r="Z9" s="4"/>
      <c r="AA9" s="4"/>
      <c r="AB9" s="4"/>
      <c r="AC9" s="4"/>
      <c r="AD9" s="4"/>
      <c r="AE9" s="4"/>
    </row>
    <row r="10" spans="1:31" x14ac:dyDescent="0.35">
      <c r="A10" s="4"/>
      <c r="B10" s="4"/>
      <c r="C10" s="4"/>
      <c r="D10" s="15"/>
      <c r="E10" s="15"/>
      <c r="F10" s="15"/>
      <c r="G10" s="4"/>
      <c r="H10" s="13"/>
      <c r="I10" s="13"/>
      <c r="J10" s="13"/>
      <c r="K10" s="4"/>
      <c r="L10" s="17"/>
      <c r="M10" s="17"/>
      <c r="N10" s="8"/>
      <c r="O10" s="18">
        <f>GETPIVOTDATA("[Measures].[Total_Order]",Pivot!$AW$3)</f>
        <v>100</v>
      </c>
      <c r="P10" s="18"/>
      <c r="Q10" s="18"/>
      <c r="R10" s="4"/>
      <c r="S10" s="19">
        <f>GETPIVOTDATA("[Measures].[Average_Order]",Pivot!$AT$3)</f>
        <v>6473250</v>
      </c>
      <c r="T10" s="19"/>
      <c r="U10" s="19"/>
      <c r="V10" s="4"/>
      <c r="W10" s="20">
        <f>GETPIVOTDATA("[Measures].[Total_Unit_Sold]",Pivot!$K$2)</f>
        <v>1141</v>
      </c>
      <c r="X10" s="20"/>
      <c r="Y10" s="10"/>
      <c r="Z10" s="4"/>
      <c r="AA10" s="4"/>
      <c r="AB10" s="4"/>
      <c r="AC10" s="4"/>
      <c r="AD10" s="4"/>
      <c r="AE10" s="4"/>
    </row>
    <row r="11" spans="1:31"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1:31"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spans="1:3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spans="1:3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3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spans="1:31"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spans="1:31"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spans="1:31"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3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spans="1:31"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31"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spans="1:31"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spans="1:31"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spans="1:31"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spans="1:31"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31"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spans="1:31"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spans="1:31"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1"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1"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spans="1:31"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spans="1:31"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sheetData>
  <mergeCells count="10">
    <mergeCell ref="O10:Q10"/>
    <mergeCell ref="S10:U10"/>
    <mergeCell ref="S8:U8"/>
    <mergeCell ref="W8:Y8"/>
    <mergeCell ref="W10:X10"/>
    <mergeCell ref="D7:F7"/>
    <mergeCell ref="D9:F10"/>
    <mergeCell ref="H7:J7"/>
    <mergeCell ref="H9:J10"/>
    <mergeCell ref="L9:M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D2091146-999D-4AA7-9167-0D7D7FFD8684}">
  <ds:schemaRefs/>
</ds:datastoreItem>
</file>

<file path=customXml/itemProps2.xml><?xml version="1.0" encoding="utf-8"?>
<ds:datastoreItem xmlns:ds="http://schemas.openxmlformats.org/officeDocument/2006/customXml" ds:itemID="{30763062-C584-4B0D-A96E-14A276E95609}">
  <ds:schemaRefs/>
</ds:datastoreItem>
</file>

<file path=customXml/itemProps3.xml><?xml version="1.0" encoding="utf-8"?>
<ds:datastoreItem xmlns:ds="http://schemas.openxmlformats.org/officeDocument/2006/customXml" ds:itemID="{40E35480-9875-4BCC-9A21-302CE05CC3B8}">
  <ds:schemaRefs/>
</ds:datastoreItem>
</file>

<file path=customXml/itemProps4.xml><?xml version="1.0" encoding="utf-8"?>
<ds:datastoreItem xmlns:ds="http://schemas.openxmlformats.org/officeDocument/2006/customXml" ds:itemID="{081EEE6A-2635-465E-8590-8F9CF9B12978}">
  <ds:schemaRefs/>
</ds:datastoreItem>
</file>

<file path=customXml/itemProps5.xml><?xml version="1.0" encoding="utf-8"?>
<ds:datastoreItem xmlns:ds="http://schemas.openxmlformats.org/officeDocument/2006/customXml" ds:itemID="{446282D1-76EB-4198-9E5C-CA8D35AAC159}">
  <ds:schemaRefs/>
</ds:datastoreItem>
</file>

<file path=customXml/itemProps6.xml><?xml version="1.0" encoding="utf-8"?>
<ds:datastoreItem xmlns:ds="http://schemas.openxmlformats.org/officeDocument/2006/customXml" ds:itemID="{407012FC-8737-41F2-830F-2C6B77D0526D}">
  <ds:schemaRefs>
    <ds:schemaRef ds:uri="http://schemas.microsoft.com/DataMashup"/>
  </ds:schemaRefs>
</ds:datastoreItem>
</file>

<file path=customXml/itemProps7.xml><?xml version="1.0" encoding="utf-8"?>
<ds:datastoreItem xmlns:ds="http://schemas.openxmlformats.org/officeDocument/2006/customXml" ds:itemID="{9F5CE6A0-5EE9-4B79-A541-C1F67151B0E2}">
  <ds:schemaRefs/>
</ds:datastoreItem>
</file>

<file path=customXml/itemProps8.xml><?xml version="1.0" encoding="utf-8"?>
<ds:datastoreItem xmlns:ds="http://schemas.openxmlformats.org/officeDocument/2006/customXml" ds:itemID="{C32E4268-7B52-4E3C-A144-AA8B6E22A52F}">
  <ds:schemaRefs/>
</ds:datastoreItem>
</file>

<file path=customXml/itemProps9.xml><?xml version="1.0" encoding="utf-8"?>
<ds:datastoreItem xmlns:ds="http://schemas.openxmlformats.org/officeDocument/2006/customXml" ds:itemID="{74881C44-93D7-45CB-9140-94439AB8D4A8}">
  <ds:schemaRefs/>
</ds:datastoreItem>
</file>

<file path=customXml/itemProps10.xml><?xml version="1.0" encoding="utf-8"?>
<ds:datastoreItem xmlns:ds="http://schemas.openxmlformats.org/officeDocument/2006/customXml" ds:itemID="{0857C777-1C77-46DF-B277-522BB65503F0}">
  <ds:schemaRefs/>
</ds:datastoreItem>
</file>

<file path=customXml/itemProps11.xml><?xml version="1.0" encoding="utf-8"?>
<ds:datastoreItem xmlns:ds="http://schemas.openxmlformats.org/officeDocument/2006/customXml" ds:itemID="{B1421F8C-7F9A-4CFA-8C02-7D37CEC30833}">
  <ds:schemaRefs/>
</ds:datastoreItem>
</file>

<file path=customXml/itemProps12.xml><?xml version="1.0" encoding="utf-8"?>
<ds:datastoreItem xmlns:ds="http://schemas.openxmlformats.org/officeDocument/2006/customXml" ds:itemID="{A87E5D31-8FBE-4C1F-8EDC-87CAD82E89B5}">
  <ds:schemaRefs/>
</ds:datastoreItem>
</file>

<file path=customXml/itemProps13.xml><?xml version="1.0" encoding="utf-8"?>
<ds:datastoreItem xmlns:ds="http://schemas.openxmlformats.org/officeDocument/2006/customXml" ds:itemID="{A651EE9E-82D3-411C-A92F-865B25E56E5B}">
  <ds:schemaRefs/>
</ds:datastoreItem>
</file>

<file path=customXml/itemProps14.xml><?xml version="1.0" encoding="utf-8"?>
<ds:datastoreItem xmlns:ds="http://schemas.openxmlformats.org/officeDocument/2006/customXml" ds:itemID="{C948D71E-345F-4884-8AF5-39382B50CB0A}">
  <ds:schemaRefs/>
</ds:datastoreItem>
</file>

<file path=customXml/itemProps15.xml><?xml version="1.0" encoding="utf-8"?>
<ds:datastoreItem xmlns:ds="http://schemas.openxmlformats.org/officeDocument/2006/customXml" ds:itemID="{8D6E8BDC-BF50-4BE0-A339-C17185615CC5}">
  <ds:schemaRefs/>
</ds:datastoreItem>
</file>

<file path=customXml/itemProps16.xml><?xml version="1.0" encoding="utf-8"?>
<ds:datastoreItem xmlns:ds="http://schemas.openxmlformats.org/officeDocument/2006/customXml" ds:itemID="{A7F4D13B-AB9E-4028-8D67-057A35CC3A28}">
  <ds:schemaRefs/>
</ds:datastoreItem>
</file>

<file path=customXml/itemProps17.xml><?xml version="1.0" encoding="utf-8"?>
<ds:datastoreItem xmlns:ds="http://schemas.openxmlformats.org/officeDocument/2006/customXml" ds:itemID="{2BC0ED9B-7625-47BF-93F5-7F485F6E5194}">
  <ds:schemaRefs/>
</ds:datastoreItem>
</file>

<file path=customXml/itemProps18.xml><?xml version="1.0" encoding="utf-8"?>
<ds:datastoreItem xmlns:ds="http://schemas.openxmlformats.org/officeDocument/2006/customXml" ds:itemID="{4EA8B40C-A2DA-46CE-910E-27D45A1CDACD}">
  <ds:schemaRefs/>
</ds:datastoreItem>
</file>

<file path=customXml/itemProps19.xml><?xml version="1.0" encoding="utf-8"?>
<ds:datastoreItem xmlns:ds="http://schemas.openxmlformats.org/officeDocument/2006/customXml" ds:itemID="{FEFF6D5B-42DD-4485-956C-0D481821D3AD}">
  <ds:schemaRefs/>
</ds:datastoreItem>
</file>

<file path=customXml/itemProps20.xml><?xml version="1.0" encoding="utf-8"?>
<ds:datastoreItem xmlns:ds="http://schemas.openxmlformats.org/officeDocument/2006/customXml" ds:itemID="{6F661ABF-6118-4BDE-97BA-AAAA45818C53}">
  <ds:schemaRefs/>
</ds:datastoreItem>
</file>

<file path=customXml/itemProps21.xml><?xml version="1.0" encoding="utf-8"?>
<ds:datastoreItem xmlns:ds="http://schemas.openxmlformats.org/officeDocument/2006/customXml" ds:itemID="{358BCD0C-8134-48F6-ABB7-1F091C41ADA6}">
  <ds:schemaRefs/>
</ds:datastoreItem>
</file>

<file path=customXml/itemProps22.xml><?xml version="1.0" encoding="utf-8"?>
<ds:datastoreItem xmlns:ds="http://schemas.openxmlformats.org/officeDocument/2006/customXml" ds:itemID="{D258DA16-7C94-481B-8A9D-E41349E9CD33}">
  <ds:schemaRefs/>
</ds:datastoreItem>
</file>

<file path=customXml/itemProps23.xml><?xml version="1.0" encoding="utf-8"?>
<ds:datastoreItem xmlns:ds="http://schemas.openxmlformats.org/officeDocument/2006/customXml" ds:itemID="{2506C31D-33DA-4430-828D-1ED38F542D81}">
  <ds:schemaRefs/>
</ds:datastoreItem>
</file>

<file path=customXml/itemProps24.xml><?xml version="1.0" encoding="utf-8"?>
<ds:datastoreItem xmlns:ds="http://schemas.openxmlformats.org/officeDocument/2006/customXml" ds:itemID="{AFAADB6D-5CAE-4969-9F05-DF4AB4BC0C1F}">
  <ds:schemaRefs/>
</ds:datastoreItem>
</file>

<file path=customXml/itemProps25.xml><?xml version="1.0" encoding="utf-8"?>
<ds:datastoreItem xmlns:ds="http://schemas.openxmlformats.org/officeDocument/2006/customXml" ds:itemID="{5511CAFD-39D1-4365-9B62-24BF47DABA37}">
  <ds:schemaRefs/>
</ds:datastoreItem>
</file>

<file path=customXml/itemProps26.xml><?xml version="1.0" encoding="utf-8"?>
<ds:datastoreItem xmlns:ds="http://schemas.openxmlformats.org/officeDocument/2006/customXml" ds:itemID="{F2FEE1E3-9FEF-4898-96C6-127809C51780}">
  <ds:schemaRefs/>
</ds:datastoreItem>
</file>

<file path=customXml/itemProps27.xml><?xml version="1.0" encoding="utf-8"?>
<ds:datastoreItem xmlns:ds="http://schemas.openxmlformats.org/officeDocument/2006/customXml" ds:itemID="{1130A919-7411-44C7-8A9A-F7A03FB7B0C6}">
  <ds:schemaRefs/>
</ds:datastoreItem>
</file>

<file path=customXml/itemProps28.xml><?xml version="1.0" encoding="utf-8"?>
<ds:datastoreItem xmlns:ds="http://schemas.openxmlformats.org/officeDocument/2006/customXml" ds:itemID="{3F3F8AD3-3294-4A79-845A-09B1B914281A}">
  <ds:schemaRefs/>
</ds:datastoreItem>
</file>

<file path=customXml/itemProps29.xml><?xml version="1.0" encoding="utf-8"?>
<ds:datastoreItem xmlns:ds="http://schemas.openxmlformats.org/officeDocument/2006/customXml" ds:itemID="{BEC307C2-8064-4501-B667-85A7522EACF9}">
  <ds:schemaRefs/>
</ds:datastoreItem>
</file>

<file path=customXml/itemProps30.xml><?xml version="1.0" encoding="utf-8"?>
<ds:datastoreItem xmlns:ds="http://schemas.openxmlformats.org/officeDocument/2006/customXml" ds:itemID="{C36B33C2-BC53-4E96-A708-A729E03284E8}">
  <ds:schemaRefs/>
</ds:datastoreItem>
</file>

<file path=customXml/itemProps31.xml><?xml version="1.0" encoding="utf-8"?>
<ds:datastoreItem xmlns:ds="http://schemas.openxmlformats.org/officeDocument/2006/customXml" ds:itemID="{0CFAA6AF-76F6-40CA-825F-F51AB873DE58}">
  <ds:schemaRefs/>
</ds:datastoreItem>
</file>

<file path=customXml/itemProps32.xml><?xml version="1.0" encoding="utf-8"?>
<ds:datastoreItem xmlns:ds="http://schemas.openxmlformats.org/officeDocument/2006/customXml" ds:itemID="{5E51BDD6-24CF-47A7-8042-22FB15062629}">
  <ds:schemaRefs/>
</ds:datastoreItem>
</file>

<file path=customXml/itemProps33.xml><?xml version="1.0" encoding="utf-8"?>
<ds:datastoreItem xmlns:ds="http://schemas.openxmlformats.org/officeDocument/2006/customXml" ds:itemID="{EAF0818C-8137-49B1-8F62-8AFA8E6C8059}">
  <ds:schemaRefs/>
</ds:datastoreItem>
</file>

<file path=customXml/itemProps34.xml><?xml version="1.0" encoding="utf-8"?>
<ds:datastoreItem xmlns:ds="http://schemas.openxmlformats.org/officeDocument/2006/customXml" ds:itemID="{CCEC735E-8F26-400B-B38C-B77892D0E4AF}">
  <ds:schemaRefs/>
</ds:datastoreItem>
</file>

<file path=customXml/itemProps35.xml><?xml version="1.0" encoding="utf-8"?>
<ds:datastoreItem xmlns:ds="http://schemas.openxmlformats.org/officeDocument/2006/customXml" ds:itemID="{634A6F51-1762-4525-BC4D-F4C1CE35F069}">
  <ds:schemaRefs/>
</ds:datastoreItem>
</file>

<file path=customXml/itemProps36.xml><?xml version="1.0" encoding="utf-8"?>
<ds:datastoreItem xmlns:ds="http://schemas.openxmlformats.org/officeDocument/2006/customXml" ds:itemID="{5FCEA2BC-B559-4197-AF29-44C019E9A5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Electronics Sales</vt:lpstr>
      <vt:lpstr>Pivot</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Afolakemi Olalekan</dc:creator>
  <cp:lastModifiedBy>Afolakemi Olalekan</cp:lastModifiedBy>
  <dcterms:created xsi:type="dcterms:W3CDTF">2026-01-13T11:35:55Z</dcterms:created>
  <dcterms:modified xsi:type="dcterms:W3CDTF">2026-01-30T16:27:13Z</dcterms:modified>
</cp:coreProperties>
</file>